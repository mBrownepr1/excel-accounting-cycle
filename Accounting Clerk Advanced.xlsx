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Users\Marcus\Desktop\Data&amp;ACC Projects\"/>
    </mc:Choice>
  </mc:AlternateContent>
  <xr:revisionPtr revIDLastSave="0" documentId="13_ncr:1_{739288E2-C9E0-4E9E-8CDD-055E9A89C8A1}" xr6:coauthVersionLast="47" xr6:coauthVersionMax="47" xr10:uidLastSave="{00000000-0000-0000-0000-000000000000}"/>
  <bookViews>
    <workbookView xWindow="-120" yWindow="-120" windowWidth="29040" windowHeight="15720" activeTab="5" xr2:uid="{03240B47-7488-4A1B-A7F2-83924F636935}"/>
  </bookViews>
  <sheets>
    <sheet name="Chart of Accounts" sheetId="11" r:id="rId1"/>
    <sheet name="Journal Entry" sheetId="1" r:id="rId2"/>
    <sheet name="Ledger" sheetId="13" r:id="rId3"/>
    <sheet name="Trial Balance" sheetId="15" r:id="rId4"/>
    <sheet name="Income Statement" sheetId="16" r:id="rId5"/>
    <sheet name="Owner's Equity" sheetId="19" r:id="rId6"/>
    <sheet name="Balance Sheet" sheetId="18" r:id="rId7"/>
  </sheets>
  <definedNames>
    <definedName name="_xlnm._FilterDatabase" localSheetId="1" hidden="1">'Journal Entry'!$A$4:$H$4</definedName>
    <definedName name="Slicer_Account_Name">#N/A</definedName>
  </definedNames>
  <calcPr calcId="191029"/>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 i="19" l="1"/>
  <c r="C8" i="19" s="1"/>
  <c r="C11" i="19" s="1"/>
  <c r="B28" i="18" a="1"/>
  <c r="B28" i="18" s="1"/>
  <c r="B15" i="18" a="1"/>
  <c r="B15" i="18" s="1"/>
  <c r="B14" i="18" a="1"/>
  <c r="B14" i="18" s="1"/>
  <c r="B10" i="18" a="1"/>
  <c r="B10" i="18" s="1"/>
  <c r="B7" i="18" a="1"/>
  <c r="B7" i="18" s="1"/>
  <c r="B5" i="18" a="1"/>
  <c r="B5" i="18" s="1"/>
  <c r="B21" i="18" a="1"/>
  <c r="B21" i="18" s="1"/>
  <c r="B22" i="18" a="1"/>
  <c r="B22" i="18" s="1"/>
  <c r="B20" i="18" a="1"/>
  <c r="B20" i="18" s="1"/>
  <c r="B6" i="18" a="1"/>
  <c r="B6" i="18" s="1"/>
  <c r="H18" i="16"/>
  <c r="G11" i="16"/>
  <c r="G14" i="16"/>
  <c r="G13" i="16"/>
  <c r="G12" i="16"/>
  <c r="G6" i="16"/>
  <c r="H7" i="16" s="1"/>
  <c r="B29" i="18" l="1"/>
  <c r="B25" i="18"/>
  <c r="B11" i="18"/>
  <c r="B23" i="18" l="1"/>
  <c r="B30" i="18" l="1"/>
  <c r="B26" i="18"/>
  <c r="B16" i="18"/>
  <c r="B12" i="18"/>
  <c r="B31" i="18" l="1"/>
  <c r="B8" i="18"/>
  <c r="B17" i="18" s="1"/>
  <c r="B37" i="18"/>
  <c r="B33" i="18" l="1"/>
  <c r="B36" i="18"/>
  <c r="B35" i="18"/>
  <c r="B34" i="18"/>
  <c r="G32" i="1"/>
  <c r="F32" i="1"/>
  <c r="F31" i="1"/>
  <c r="H15" i="16"/>
  <c r="H16" i="16" s="1"/>
  <c r="H17" i="16" s="1"/>
  <c r="F10" i="15" l="1"/>
  <c r="G10" i="15" s="1"/>
  <c r="F5" i="15"/>
  <c r="G5" i="15" s="1"/>
  <c r="F6" i="15"/>
  <c r="G6" i="15" s="1"/>
  <c r="F7" i="15"/>
  <c r="G7" i="15" s="1"/>
  <c r="F8" i="15"/>
  <c r="G8" i="15" s="1"/>
  <c r="F9" i="15"/>
  <c r="G9" i="15" s="1"/>
  <c r="F11" i="15"/>
  <c r="G11" i="15" s="1"/>
  <c r="F12" i="15"/>
  <c r="G12" i="15" s="1"/>
  <c r="F13" i="15"/>
  <c r="G13" i="15" s="1"/>
  <c r="F14" i="15"/>
  <c r="G14" i="15" s="1"/>
  <c r="F15" i="15"/>
  <c r="G15" i="15" s="1"/>
  <c r="F16" i="15"/>
  <c r="G16" i="15" s="1"/>
  <c r="F4" i="15"/>
  <c r="G4" i="15" s="1"/>
  <c r="A2" i="13"/>
  <c r="C2" i="13" s="1"/>
  <c r="H25" i="1"/>
  <c r="H26" i="1"/>
  <c r="H27" i="1"/>
  <c r="H28" i="1"/>
  <c r="H5" i="1"/>
  <c r="H7" i="1"/>
  <c r="H8" i="1"/>
  <c r="H10" i="1"/>
  <c r="H9" i="1"/>
  <c r="H11" i="1"/>
  <c r="H12" i="1"/>
  <c r="H13" i="1"/>
  <c r="H14" i="1"/>
  <c r="H16" i="1"/>
  <c r="H15" i="1"/>
  <c r="H18" i="1"/>
  <c r="H17" i="1"/>
  <c r="H19" i="1"/>
  <c r="H20" i="1"/>
  <c r="H21" i="1"/>
  <c r="H22" i="1"/>
  <c r="H23" i="1"/>
  <c r="H24" i="1"/>
  <c r="H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<sst xmlns="http://schemas.openxmlformats.org/spreadsheetml/2006/main" count="271" uniqueCount="100">
  <si>
    <t>T.No</t>
  </si>
  <si>
    <t>Date</t>
  </si>
  <si>
    <t>Description</t>
  </si>
  <si>
    <t>Debit</t>
  </si>
  <si>
    <t>Credit</t>
  </si>
  <si>
    <t>Owner Investment</t>
  </si>
  <si>
    <t>Account Name</t>
  </si>
  <si>
    <t>Cash</t>
  </si>
  <si>
    <t>Owner's Equity</t>
  </si>
  <si>
    <t>Purchase of office funiture on credit</t>
  </si>
  <si>
    <t>Purchase of office furniture on credit</t>
  </si>
  <si>
    <t>Service Revenue</t>
  </si>
  <si>
    <t>Office Supplies</t>
  </si>
  <si>
    <t>Purchase of office supplies</t>
  </si>
  <si>
    <t>IT Consulting Service on account: Client 1</t>
  </si>
  <si>
    <t>IT Consulting Service  on account: Client 1</t>
  </si>
  <si>
    <t>Cash from account client 1</t>
  </si>
  <si>
    <t>Office furniture purchased on credit</t>
  </si>
  <si>
    <t>IT Consulting Service, Unpaid</t>
  </si>
  <si>
    <t>Rent Expense</t>
  </si>
  <si>
    <t>Rent for the month</t>
  </si>
  <si>
    <t>January</t>
  </si>
  <si>
    <t>Utility Expense</t>
  </si>
  <si>
    <t>Pays employee salaries</t>
  </si>
  <si>
    <t>Total</t>
  </si>
  <si>
    <t>Office Furniture</t>
  </si>
  <si>
    <t>Accounts Recieveable</t>
  </si>
  <si>
    <t>Accounts Payable</t>
  </si>
  <si>
    <t>Utility bill for the month, Unpaid</t>
  </si>
  <si>
    <t>Running Balance</t>
  </si>
  <si>
    <t>Account Number</t>
  </si>
  <si>
    <t>Payroll</t>
  </si>
  <si>
    <t>Swift Tech Solutions</t>
  </si>
  <si>
    <t>Depreciation Expense</t>
  </si>
  <si>
    <t>Payroll Payable</t>
  </si>
  <si>
    <t>Revenue</t>
  </si>
  <si>
    <t>Expenses</t>
  </si>
  <si>
    <t>Accounts</t>
  </si>
  <si>
    <t>Balance Sheet</t>
  </si>
  <si>
    <t>Assets</t>
  </si>
  <si>
    <t>Current Assets</t>
  </si>
  <si>
    <t>Liabilities</t>
  </si>
  <si>
    <t>Equity</t>
  </si>
  <si>
    <t>Sub Accounts</t>
  </si>
  <si>
    <t>Fixed Accounts</t>
  </si>
  <si>
    <t>Indivdual Accounts</t>
  </si>
  <si>
    <t>Current Liabilities</t>
  </si>
  <si>
    <t>Fixed Liabilities</t>
  </si>
  <si>
    <t>Fixed Assets</t>
  </si>
  <si>
    <t>Grand Total</t>
  </si>
  <si>
    <t>Sum of Debit</t>
  </si>
  <si>
    <t>Sum of Credit</t>
  </si>
  <si>
    <t>Sum of Balance</t>
  </si>
  <si>
    <t>Accumlated Expenses</t>
  </si>
  <si>
    <t>Contra Assets</t>
  </si>
  <si>
    <t>Adjusted entry- Depreciation Expense on Office Furniture</t>
  </si>
  <si>
    <t>Adjusted Entry- Accured Wages, Unpaid</t>
  </si>
  <si>
    <t>Trial Balance</t>
  </si>
  <si>
    <t>Income Statement</t>
  </si>
  <si>
    <t>For end of January 31st</t>
  </si>
  <si>
    <t>Financial Statement</t>
  </si>
  <si>
    <t>Gross Profit</t>
  </si>
  <si>
    <t>Operating Expenses</t>
  </si>
  <si>
    <t>Total Operating Expenses</t>
  </si>
  <si>
    <t>Operating Profit</t>
  </si>
  <si>
    <t>Net Income</t>
  </si>
  <si>
    <t>Taxes (8.25%)</t>
  </si>
  <si>
    <t>Taxes</t>
  </si>
  <si>
    <t>Govt</t>
  </si>
  <si>
    <t>Payable Taxes to Govt</t>
  </si>
  <si>
    <t>Year of 2025</t>
  </si>
  <si>
    <t>Total Current Assets</t>
  </si>
  <si>
    <t>Non-Current Assets</t>
  </si>
  <si>
    <t>N/A</t>
  </si>
  <si>
    <t>Total Non-Current Assets</t>
  </si>
  <si>
    <t>Other Assets</t>
  </si>
  <si>
    <t>Total Other Assets</t>
  </si>
  <si>
    <t>Total Assets</t>
  </si>
  <si>
    <t>Liabilities and Owner's Equity</t>
  </si>
  <si>
    <t>Current Liabilties</t>
  </si>
  <si>
    <t>Total Current Liabilities</t>
  </si>
  <si>
    <t>Non - Current Liabilties</t>
  </si>
  <si>
    <t>Total Non-Current Liabilities</t>
  </si>
  <si>
    <t>Total Owner's Equity</t>
  </si>
  <si>
    <t>Total Liabilities and Owner's Equity</t>
  </si>
  <si>
    <t>Financial Ratios</t>
  </si>
  <si>
    <t>Debt Ratio</t>
  </si>
  <si>
    <t>Current Ratio</t>
  </si>
  <si>
    <t>Working Capital</t>
  </si>
  <si>
    <t>Assets - Equity Ratio</t>
  </si>
  <si>
    <t>Debt - Equity Ratio</t>
  </si>
  <si>
    <t>Statement of Owner's Equity</t>
  </si>
  <si>
    <t>End of January 31st, 2025</t>
  </si>
  <si>
    <t>Owner's Equity at January 1, 2025</t>
  </si>
  <si>
    <t>Add:</t>
  </si>
  <si>
    <t>Owner's Capital Contribution</t>
  </si>
  <si>
    <t>Subtotal</t>
  </si>
  <si>
    <t>Deduct:</t>
  </si>
  <si>
    <t>Owner's Draws</t>
  </si>
  <si>
    <t>Owner's Equity at January 31,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</si>
</sst>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4" formatCode="_(&quot;$&quot;* #,##0.00_);_(&quot;$&quot;* \(#,##0.00\);_(&quot;$&quot;* &quot;-&quot;??_);_(@_)"/>
    <numFmt numFmtId="164" formatCode="&quot;$&quot;#,##0.00"/>
    <numFmt numFmtId="165" formatCode="_(&quot;$&quot;* #,##0_);_(&quot;$&quot;* \(#,##0\);_(&quot;$&quot;* &quot;-&quot;??_);_(@_)"/>
  </numFmts>
  <fonts count="13" x14ac:knownFonts="1">
    <font>
      <sz val="11"/>
      <color theme="1"/>
      <name val="Aptos Narrow"/>
      <family val="2"/>
      <scheme val="minor"/>
    </font>
    <font>
      <b/>
      <sz val="11"/>
      <color theme="1"/>
      <name val="Aptos Narrow"/>
      <family val="2"/>
      <scheme val="minor"/>
    </font>
    <font>
      <b/>
      <u/>
      <sz val="11"/>
      <color theme="1"/>
      <name val="Arial Black"/>
      <family val="2"/>
    </font>
    <font>
      <b/>
      <sz val="16"/>
      <color theme="1"/>
      <name val="Aptos Narrow"/>
      <family val="2"/>
      <scheme val="minor"/>
    </font>
    <font>
      <b/>
      <sz val="14"/>
      <color theme="1"/>
      <name val="Aptos Narrow"/>
      <family val="2"/>
      <scheme val="minor"/>
    </font>
    <font>
      <b/>
      <i/>
      <sz val="18"/>
      <color theme="1"/>
      <name val="Aptos Narrow"/>
      <family val="2"/>
      <scheme val="minor"/>
    </font>
    <font>
      <sz val="11"/>
      <color theme="1"/>
      <name val="Aptos Narrow"/>
      <family val="2"/>
      <scheme val="minor"/>
    </font>
    <font>
      <b/>
      <i/>
      <sz val="14"/>
      <color theme="1"/>
      <name val="Aptos Narrow"/>
      <family val="2"/>
      <scheme val="minor"/>
    </font>
    <font>
      <sz val="12"/>
      <color theme="1"/>
      <name val="Aptos Narrow"/>
      <family val="2"/>
      <scheme val="minor"/>
    </font>
    <font>
      <sz val="10"/>
      <color rgb="FF040C28"/>
      <name val="Roboto"/>
    </font>
    <font>
      <b/>
      <sz val="14"/>
      <name val="Aptos Narrow"/>
      <family val="2"/>
      <scheme val="minor"/>
    </font>
    <font>
      <b/>
      <u val="singleAccounting"/>
      <sz val="11"/>
      <color theme="1"/>
      <name val="Aptos Narrow"/>
      <family val="2"/>
      <scheme val="minor"/>
    </font>
    <font>
      <b/>
      <sz val="12"/>
      <color theme="1"/>
      <name val="Aptos Narrow"/>
      <family val="2"/>
      <scheme val="minor"/>
    </font>
  </fonts>
  <fills count="10">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3" tint="0.249977111117893"/>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44" fontId="6" fillId="0" borderId="0" applyFont="0" applyFill="0" applyBorder="0" applyAlignment="0" applyProtection="0"/>
  </cellStyleXfs>
  <cellXfs count="114">
    <xf numFmtId="0" fontId="0" fillId="0" borderId="0" xfId="0"/>
    <xf numFmtId="0" fontId="0" fillId="0" borderId="0" xfId="0" applyAlignment="1">
      <alignment horizontal="center"/>
    </xf>
    <xf numFmtId="0" fontId="0" fillId="0" borderId="1" xfId="0" applyBorder="1" applyAlignment="1">
      <alignment horizontal="center"/>
    </xf>
    <xf numFmtId="16" fontId="0" fillId="0" borderId="1" xfId="0" applyNumberFormat="1" applyBorder="1" applyAlignment="1">
      <alignment horizontal="center"/>
    </xf>
    <xf numFmtId="0" fontId="0" fillId="0" borderId="2" xfId="0" applyBorder="1" applyAlignment="1">
      <alignment horizontal="center"/>
    </xf>
    <xf numFmtId="14" fontId="0" fillId="0" borderId="1" xfId="0" applyNumberFormat="1" applyBorder="1" applyAlignment="1">
      <alignment horizontal="center"/>
    </xf>
    <xf numFmtId="164" fontId="0" fillId="0" borderId="1" xfId="0" applyNumberFormat="1" applyBorder="1" applyAlignment="1">
      <alignment horizontal="center"/>
    </xf>
    <xf numFmtId="164" fontId="0" fillId="0" borderId="3" xfId="0" applyNumberFormat="1" applyBorder="1"/>
    <xf numFmtId="0" fontId="1" fillId="0" borderId="0" xfId="0" applyFont="1" applyAlignment="1">
      <alignment horizontal="center"/>
    </xf>
    <xf numFmtId="164" fontId="0" fillId="0" borderId="0" xfId="0" applyNumberFormat="1"/>
    <xf numFmtId="0" fontId="0" fillId="3" borderId="6" xfId="0" applyFill="1" applyBorder="1"/>
    <xf numFmtId="1" fontId="0" fillId="0" borderId="1" xfId="0" applyNumberFormat="1" applyBorder="1" applyAlignment="1">
      <alignment horizontal="center"/>
    </xf>
    <xf numFmtId="1" fontId="0" fillId="0" borderId="0" xfId="0" applyNumberFormat="1"/>
    <xf numFmtId="0" fontId="0" fillId="0" borderId="0" xfId="0" pivotButton="1"/>
    <xf numFmtId="14" fontId="0" fillId="0" borderId="0" xfId="0" applyNumberFormat="1"/>
    <xf numFmtId="3" fontId="0" fillId="0" borderId="0" xfId="0" applyNumberFormat="1"/>
    <xf numFmtId="42" fontId="0" fillId="0" borderId="0" xfId="0" applyNumberFormat="1"/>
    <xf numFmtId="164" fontId="0" fillId="0" borderId="1" xfId="0" applyNumberFormat="1" applyBorder="1"/>
    <xf numFmtId="0" fontId="5" fillId="0" borderId="0" xfId="0" applyFont="1" applyAlignment="1">
      <alignment horizontal="right"/>
    </xf>
    <xf numFmtId="0" fontId="4" fillId="0" borderId="0" xfId="0" applyFont="1" applyAlignment="1">
      <alignment horizontal="center"/>
    </xf>
    <xf numFmtId="0" fontId="5" fillId="0" borderId="0" xfId="0" applyFont="1" applyAlignment="1">
      <alignment horizontal="center" vertical="center"/>
    </xf>
    <xf numFmtId="0" fontId="2" fillId="2" borderId="8" xfId="0" applyFont="1" applyFill="1" applyBorder="1" applyAlignment="1">
      <alignment horizontal="center" vertical="center"/>
    </xf>
    <xf numFmtId="0" fontId="2" fillId="2" borderId="9" xfId="0" applyFont="1" applyFill="1" applyBorder="1" applyAlignment="1">
      <alignment horizontal="center" vertical="center"/>
    </xf>
    <xf numFmtId="1" fontId="2" fillId="2" borderId="9" xfId="0" applyNumberFormat="1" applyFont="1" applyFill="1" applyBorder="1" applyAlignment="1">
      <alignment horizontal="center" vertical="center"/>
    </xf>
    <xf numFmtId="164" fontId="2" fillId="2" borderId="10" xfId="0" applyNumberFormat="1" applyFont="1" applyFill="1" applyBorder="1" applyAlignment="1">
      <alignment horizontal="center" vertical="center"/>
    </xf>
    <xf numFmtId="44" fontId="0" fillId="0" borderId="0" xfId="1" applyFont="1"/>
    <xf numFmtId="0" fontId="0" fillId="5" borderId="0" xfId="0" applyFill="1"/>
    <xf numFmtId="44" fontId="7" fillId="4" borderId="0" xfId="1" applyFont="1" applyFill="1" applyBorder="1" applyAlignment="1"/>
    <xf numFmtId="44" fontId="7" fillId="4" borderId="12" xfId="1" applyFont="1" applyFill="1" applyBorder="1" applyAlignment="1"/>
    <xf numFmtId="0" fontId="1" fillId="0" borderId="14" xfId="0" applyFont="1" applyBorder="1"/>
    <xf numFmtId="44" fontId="8" fillId="0" borderId="0" xfId="1" applyFont="1" applyBorder="1"/>
    <xf numFmtId="44" fontId="0" fillId="0" borderId="0" xfId="1" applyFont="1" applyBorder="1"/>
    <xf numFmtId="0" fontId="0" fillId="0" borderId="15" xfId="0" applyBorder="1"/>
    <xf numFmtId="0" fontId="7" fillId="4" borderId="17" xfId="0" applyFont="1" applyFill="1" applyBorder="1"/>
    <xf numFmtId="0" fontId="0" fillId="0" borderId="14" xfId="0" applyBorder="1"/>
    <xf numFmtId="0" fontId="1" fillId="0" borderId="14" xfId="0" applyFont="1" applyBorder="1" applyAlignment="1">
      <alignment horizontal="left" indent="2"/>
    </xf>
    <xf numFmtId="0" fontId="7" fillId="4" borderId="14" xfId="0" applyFont="1" applyFill="1" applyBorder="1" applyAlignment="1">
      <alignment horizontal="center"/>
    </xf>
    <xf numFmtId="0" fontId="7" fillId="4" borderId="15" xfId="0" applyFont="1" applyFill="1" applyBorder="1"/>
    <xf numFmtId="0" fontId="1" fillId="0" borderId="14" xfId="0" applyFont="1" applyBorder="1" applyAlignment="1">
      <alignment horizontal="center"/>
    </xf>
    <xf numFmtId="0" fontId="0" fillId="0" borderId="20" xfId="0" applyBorder="1"/>
    <xf numFmtId="0" fontId="0" fillId="0" borderId="7" xfId="0" applyBorder="1"/>
    <xf numFmtId="44" fontId="0" fillId="0" borderId="7" xfId="1" applyFont="1" applyBorder="1"/>
    <xf numFmtId="0" fontId="0" fillId="0" borderId="21" xfId="0" applyBorder="1"/>
    <xf numFmtId="44" fontId="6" fillId="0" borderId="0" xfId="1" applyFont="1" applyBorder="1"/>
    <xf numFmtId="165" fontId="1" fillId="0" borderId="0" xfId="1" applyNumberFormat="1" applyFont="1" applyBorder="1"/>
    <xf numFmtId="0" fontId="4" fillId="0" borderId="9" xfId="0" applyFont="1" applyBorder="1" applyAlignment="1">
      <alignment horizontal="center"/>
    </xf>
    <xf numFmtId="44" fontId="4" fillId="0" borderId="9" xfId="1" applyFont="1" applyBorder="1"/>
    <xf numFmtId="0" fontId="4" fillId="0" borderId="9" xfId="0" applyFont="1" applyBorder="1"/>
    <xf numFmtId="0" fontId="0" fillId="0" borderId="9" xfId="0" applyBorder="1"/>
    <xf numFmtId="44" fontId="0" fillId="0" borderId="1" xfId="1" applyFont="1" applyBorder="1"/>
    <xf numFmtId="0" fontId="0" fillId="0" borderId="1" xfId="0" applyBorder="1"/>
    <xf numFmtId="0" fontId="4" fillId="7" borderId="1" xfId="0" applyFont="1" applyFill="1" applyBorder="1" applyAlignment="1">
      <alignment horizontal="right"/>
    </xf>
    <xf numFmtId="44" fontId="11" fillId="7" borderId="1" xfId="1" applyFont="1" applyFill="1" applyBorder="1"/>
    <xf numFmtId="0" fontId="0" fillId="7" borderId="1" xfId="0" applyFill="1" applyBorder="1"/>
    <xf numFmtId="0" fontId="4" fillId="7" borderId="1" xfId="0" applyFont="1" applyFill="1" applyBorder="1"/>
    <xf numFmtId="0" fontId="4" fillId="6" borderId="1" xfId="0" applyFont="1" applyFill="1" applyBorder="1" applyAlignment="1">
      <alignment horizontal="left" indent="16"/>
    </xf>
    <xf numFmtId="44" fontId="0" fillId="6" borderId="1" xfId="1" applyFont="1" applyFill="1" applyBorder="1"/>
    <xf numFmtId="0" fontId="0" fillId="6" borderId="1" xfId="0" applyFill="1" applyBorder="1"/>
    <xf numFmtId="0" fontId="4" fillId="0" borderId="1" xfId="0" applyFont="1" applyBorder="1" applyAlignment="1">
      <alignment horizontal="center"/>
    </xf>
    <xf numFmtId="44" fontId="4" fillId="0" borderId="1" xfId="1" applyFont="1" applyBorder="1"/>
    <xf numFmtId="0" fontId="4" fillId="0" borderId="1" xfId="0" applyFont="1" applyBorder="1"/>
    <xf numFmtId="44" fontId="4" fillId="0" borderId="1" xfId="1" applyFont="1" applyFill="1" applyBorder="1"/>
    <xf numFmtId="0" fontId="1" fillId="8" borderId="1" xfId="0" applyFont="1" applyFill="1" applyBorder="1" applyAlignment="1">
      <alignment horizontal="center"/>
    </xf>
    <xf numFmtId="2" fontId="0" fillId="8" borderId="1" xfId="1" applyNumberFormat="1" applyFont="1" applyFill="1" applyBorder="1" applyAlignment="1">
      <alignment horizontal="right"/>
    </xf>
    <xf numFmtId="2" fontId="0" fillId="8" borderId="1" xfId="0" applyNumberFormat="1" applyFill="1" applyBorder="1" applyAlignment="1">
      <alignment horizontal="center"/>
    </xf>
    <xf numFmtId="44" fontId="0" fillId="8" borderId="1" xfId="1" applyFont="1" applyFill="1" applyBorder="1" applyAlignment="1">
      <alignment horizontal="right"/>
    </xf>
    <xf numFmtId="44" fontId="1" fillId="7" borderId="1" xfId="1" applyFont="1" applyFill="1" applyBorder="1"/>
    <xf numFmtId="0" fontId="3" fillId="3" borderId="4" xfId="0" applyFont="1" applyFill="1" applyBorder="1" applyAlignment="1">
      <alignment horizontal="center"/>
    </xf>
    <xf numFmtId="0" fontId="3" fillId="3" borderId="5" xfId="0" applyFont="1" applyFill="1" applyBorder="1" applyAlignment="1">
      <alignment horizontal="center"/>
    </xf>
    <xf numFmtId="1" fontId="3" fillId="3" borderId="7" xfId="0" applyNumberFormat="1" applyFont="1" applyFill="1" applyBorder="1" applyAlignment="1">
      <alignment horizontal="center" vertical="center"/>
    </xf>
    <xf numFmtId="0" fontId="0" fillId="0" borderId="18" xfId="0" applyBorder="1" applyAlignment="1">
      <alignment horizontal="center"/>
    </xf>
    <xf numFmtId="0" fontId="0" fillId="0" borderId="13" xfId="0" applyBorder="1" applyAlignment="1">
      <alignment horizontal="center"/>
    </xf>
    <xf numFmtId="0" fontId="0" fillId="0" borderId="19" xfId="0" applyBorder="1" applyAlignment="1">
      <alignment horizontal="center"/>
    </xf>
    <xf numFmtId="0" fontId="7" fillId="4" borderId="16" xfId="0" applyFont="1" applyFill="1" applyBorder="1" applyAlignment="1">
      <alignment horizontal="left" indent="1"/>
    </xf>
    <xf numFmtId="0" fontId="7" fillId="4" borderId="11" xfId="0" applyFont="1" applyFill="1" applyBorder="1" applyAlignment="1">
      <alignment horizontal="left" indent="1"/>
    </xf>
    <xf numFmtId="0" fontId="7" fillId="4" borderId="17" xfId="0" applyFont="1" applyFill="1" applyBorder="1" applyAlignment="1">
      <alignment horizontal="left" indent="1"/>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3" fillId="0" borderId="14" xfId="0" applyFont="1" applyBorder="1" applyAlignment="1">
      <alignment horizontal="center"/>
    </xf>
    <xf numFmtId="0" fontId="3" fillId="0" borderId="15" xfId="0" applyFont="1" applyBorder="1" applyAlignment="1">
      <alignment horizontal="center"/>
    </xf>
    <xf numFmtId="0" fontId="7" fillId="4" borderId="16" xfId="0" applyFont="1" applyFill="1" applyBorder="1" applyAlignment="1">
      <alignment horizontal="left" indent="5"/>
    </xf>
    <xf numFmtId="0" fontId="7" fillId="4" borderId="11" xfId="0" applyFont="1" applyFill="1" applyBorder="1" applyAlignment="1">
      <alignment horizontal="left" indent="5"/>
    </xf>
    <xf numFmtId="0" fontId="7" fillId="4" borderId="17" xfId="0" applyFont="1" applyFill="1" applyBorder="1" applyAlignment="1">
      <alignment horizontal="left" indent="5"/>
    </xf>
    <xf numFmtId="0" fontId="0" fillId="0" borderId="12" xfId="0" applyBorder="1" applyAlignment="1">
      <alignment horizontal="center"/>
    </xf>
    <xf numFmtId="0" fontId="4" fillId="6" borderId="1" xfId="0" applyFont="1" applyFill="1" applyBorder="1" applyAlignment="1">
      <alignment horizontal="left" indent="15"/>
    </xf>
    <xf numFmtId="0" fontId="10" fillId="6" borderId="1" xfId="0" applyFont="1" applyFill="1" applyBorder="1" applyAlignment="1">
      <alignment horizontal="left" indent="10"/>
    </xf>
    <xf numFmtId="0" fontId="4" fillId="6" borderId="14" xfId="0" applyFont="1" applyFill="1" applyBorder="1" applyAlignment="1">
      <alignment horizontal="center"/>
    </xf>
    <xf numFmtId="0" fontId="4" fillId="6" borderId="0" xfId="0" applyFont="1" applyFill="1" applyAlignment="1">
      <alignment horizontal="center"/>
    </xf>
    <xf numFmtId="0" fontId="4" fillId="6" borderId="15" xfId="0" applyFont="1" applyFill="1" applyBorder="1" applyAlignment="1">
      <alignment horizontal="center"/>
    </xf>
    <xf numFmtId="0" fontId="4" fillId="6" borderId="20" xfId="0" applyFont="1" applyFill="1" applyBorder="1" applyAlignment="1">
      <alignment horizontal="center"/>
    </xf>
    <xf numFmtId="0" fontId="4" fillId="6" borderId="7" xfId="0" applyFont="1" applyFill="1" applyBorder="1" applyAlignment="1">
      <alignment horizontal="center"/>
    </xf>
    <xf numFmtId="0" fontId="4" fillId="6" borderId="21" xfId="0" applyFont="1" applyFill="1" applyBorder="1" applyAlignment="1">
      <alignment horizontal="center"/>
    </xf>
    <xf numFmtId="0" fontId="0" fillId="0" borderId="0" xfId="0" applyBorder="1"/>
    <xf numFmtId="0" fontId="1" fillId="0" borderId="0" xfId="0" applyFont="1"/>
    <xf numFmtId="165" fontId="1" fillId="0" borderId="11" xfId="1" applyNumberFormat="1" applyFont="1" applyBorder="1"/>
    <xf numFmtId="0" fontId="3" fillId="0" borderId="0" xfId="0" applyFont="1" applyBorder="1" applyAlignment="1">
      <alignment horizontal="center"/>
    </xf>
    <xf numFmtId="0" fontId="7" fillId="4" borderId="0" xfId="0" applyFont="1" applyFill="1" applyBorder="1"/>
    <xf numFmtId="0" fontId="9" fillId="0" borderId="14" xfId="0" applyFont="1" applyBorder="1" applyAlignment="1">
      <alignment horizontal="center"/>
    </xf>
    <xf numFmtId="0" fontId="4" fillId="9" borderId="4" xfId="0" applyFont="1" applyFill="1" applyBorder="1" applyAlignment="1">
      <alignment horizontal="center"/>
    </xf>
    <xf numFmtId="0" fontId="4" fillId="9" borderId="5" xfId="0" applyFont="1" applyFill="1" applyBorder="1" applyAlignment="1">
      <alignment horizontal="center"/>
    </xf>
    <xf numFmtId="0" fontId="4" fillId="9" borderId="6" xfId="0" applyFont="1" applyFill="1" applyBorder="1" applyAlignment="1">
      <alignment horizontal="center"/>
    </xf>
    <xf numFmtId="0" fontId="4" fillId="9" borderId="14" xfId="0" applyFont="1" applyFill="1" applyBorder="1" applyAlignment="1">
      <alignment horizontal="center"/>
    </xf>
    <xf numFmtId="0" fontId="4" fillId="9" borderId="0" xfId="0" applyFont="1" applyFill="1" applyAlignment="1">
      <alignment horizontal="center"/>
    </xf>
    <xf numFmtId="0" fontId="4" fillId="9" borderId="15" xfId="0" applyFont="1" applyFill="1" applyBorder="1" applyAlignment="1">
      <alignment horizontal="center"/>
    </xf>
    <xf numFmtId="0" fontId="4" fillId="9" borderId="20" xfId="0" applyFont="1" applyFill="1" applyBorder="1" applyAlignment="1">
      <alignment horizontal="center"/>
    </xf>
    <xf numFmtId="0" fontId="4" fillId="9" borderId="7" xfId="0" applyFont="1" applyFill="1" applyBorder="1" applyAlignment="1">
      <alignment horizontal="center"/>
    </xf>
    <xf numFmtId="0" fontId="4" fillId="9" borderId="21" xfId="0" applyFont="1" applyFill="1" applyBorder="1" applyAlignment="1">
      <alignment horizontal="center"/>
    </xf>
    <xf numFmtId="0" fontId="12" fillId="0" borderId="5" xfId="0" applyFont="1" applyBorder="1"/>
    <xf numFmtId="0" fontId="0" fillId="0" borderId="0" xfId="0" applyAlignment="1">
      <alignment horizontal="left" indent="2"/>
    </xf>
    <xf numFmtId="44" fontId="0" fillId="0" borderId="13" xfId="1" applyFont="1" applyBorder="1"/>
    <xf numFmtId="0" fontId="1" fillId="0" borderId="0" xfId="0" applyFont="1" applyAlignment="1">
      <alignment horizontal="left"/>
    </xf>
    <xf numFmtId="44" fontId="1" fillId="0" borderId="0" xfId="1" applyFont="1"/>
    <xf numFmtId="165" fontId="0" fillId="0" borderId="13" xfId="1" applyNumberFormat="1" applyFont="1" applyBorder="1"/>
  </cellXfs>
  <cellStyles count="2">
    <cellStyle name="Currency" xfId="1" builtinId="4"/>
    <cellStyle name="Normal" xfId="0" builtinId="0"/>
  </cellStyles>
  <dxfs count="17">
    <dxf>
      <font>
        <color rgb="FF9C0006"/>
      </font>
      <fill>
        <patternFill>
          <bgColor rgb="FFFFC7CE"/>
        </patternFill>
      </fill>
    </dxf>
    <dxf>
      <numFmt numFmtId="164" formatCode="&quot;$&quot;#,##0.00"/>
    </dxf>
    <dxf>
      <font>
        <color rgb="FF9C0006"/>
      </font>
      <fill>
        <patternFill>
          <bgColor rgb="FFFFC7CE"/>
        </patternFill>
      </fill>
    </dxf>
    <dxf>
      <font>
        <color rgb="FF9C0006"/>
      </font>
      <fill>
        <patternFill>
          <bgColor rgb="FFFFC7CE"/>
        </patternFill>
      </fill>
    </dxf>
    <dxf>
      <font>
        <color rgb="FF006100"/>
      </font>
      <fill>
        <patternFill>
          <bgColor rgb="FFC6EFCE"/>
        </patternFill>
      </fill>
    </dxf>
    <dxf>
      <numFmt numFmtId="164" formatCode="&quot;$&quot;#,##0.00"/>
      <border diagonalUp="0" diagonalDown="0">
        <left style="thin">
          <color indexed="64"/>
        </left>
        <right style="thin">
          <color indexed="64"/>
        </right>
        <top style="thin">
          <color indexed="64"/>
        </top>
        <bottom style="thin">
          <color indexed="64"/>
        </bottom>
        <vertical/>
        <horizontal/>
      </border>
    </dxf>
    <dxf>
      <numFmt numFmtId="164"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quot;$&quot;#,##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 formatCode="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medium">
          <color indexed="64"/>
        </top>
      </border>
    </dxf>
    <dxf>
      <alignment horizontal="center" vertical="bottom" textRotation="0" wrapText="0" indent="0" justifyLastLine="0" shrinkToFit="0" readingOrder="0"/>
    </dxf>
    <dxf>
      <border outline="0">
        <bottom style="thin">
          <color indexed="64"/>
        </bottom>
      </border>
    </dxf>
    <dxf>
      <font>
        <b/>
        <i val="0"/>
        <strike val="0"/>
        <condense val="0"/>
        <extend val="0"/>
        <outline val="0"/>
        <shadow val="0"/>
        <u/>
        <vertAlign val="baseline"/>
        <sz val="11"/>
        <color theme="1"/>
        <name val="Arial Black"/>
        <family val="2"/>
        <scheme val="none"/>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7</xdr:col>
      <xdr:colOff>1009650</xdr:colOff>
      <xdr:row>7</xdr:row>
      <xdr:rowOff>171450</xdr:rowOff>
    </xdr:from>
    <xdr:to>
      <xdr:col>8</xdr:col>
      <xdr:colOff>1295400</xdr:colOff>
      <xdr:row>21</xdr:row>
      <xdr:rowOff>171450</xdr:rowOff>
    </xdr:to>
    <mc:AlternateContent xmlns:mc="http://schemas.openxmlformats.org/markup-compatibility/2006" xmlns:a14="http://schemas.microsoft.com/office/drawing/2010/main">
      <mc:Choice Requires="a14">
        <xdr:graphicFrame macro="">
          <xdr:nvGraphicFramePr>
            <xdr:cNvPr id="2" name="Account Name">
              <a:extLst>
                <a:ext uri="{FF2B5EF4-FFF2-40B4-BE49-F238E27FC236}">
                  <a16:creationId xmlns:a16="http://schemas.microsoft.com/office/drawing/2014/main" id="{E1F3FD85-0201-9FD9-CA4C-9A34BD00FC1B}"/>
                </a:ext>
              </a:extLst>
            </xdr:cNvPr>
            <xdr:cNvGraphicFramePr/>
          </xdr:nvGraphicFramePr>
          <xdr:xfrm>
            <a:off x="0" y="0"/>
            <a:ext cx="0" cy="0"/>
          </xdr:xfrm>
          <a:graphic>
            <a:graphicData uri="http://schemas.microsoft.com/office/drawing/2010/slicer">
              <sle:slicer xmlns:sle="http://schemas.microsoft.com/office/drawing/2010/slicer" name="Account Name"/>
            </a:graphicData>
          </a:graphic>
        </xdr:graphicFrame>
      </mc:Choice>
      <mc:Fallback xmlns="">
        <xdr:sp macro="" textlink="">
          <xdr:nvSpPr>
            <xdr:cNvPr id="0" name=""/>
            <xdr:cNvSpPr>
              <a:spLocks noTextEdit="1"/>
            </xdr:cNvSpPr>
          </xdr:nvSpPr>
          <xdr:spPr>
            <a:xfrm>
              <a:off x="14277975" y="16192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cus" refreshedDate="45700.479624305553" createdVersion="8" refreshedVersion="8" minRefreshableVersion="3" recordCount="26" xr:uid="{B0FC9F7A-8A43-4067-A281-638960F9B767}">
  <cacheSource type="worksheet">
    <worksheetSource ref="A4:G30" sheet="Journal Entry"/>
  </cacheSource>
  <cacheFields count="8">
    <cacheField name="T.No" numFmtId="0">
      <sharedItems containsSemiMixedTypes="0" containsString="0" containsNumber="1" containsInteger="1" minValue="1" maxValue="13" count="13">
        <n v="1"/>
        <n v="2"/>
        <n v="3"/>
        <n v="4"/>
        <n v="5"/>
        <n v="6"/>
        <n v="7"/>
        <n v="8"/>
        <n v="9"/>
        <n v="10"/>
        <n v="11"/>
        <n v="12"/>
        <n v="13"/>
      </sharedItems>
    </cacheField>
    <cacheField name="Date" numFmtId="14">
      <sharedItems containsSemiMixedTypes="0" containsNonDate="0" containsDate="1" containsString="0" minDate="2025-01-01T00:00:00" maxDate="2025-02-01T00:00:00" count="10">
        <d v="2025-01-01T00:00:00"/>
        <d v="2025-01-03T00:00:00"/>
        <d v="2025-01-05T00:00:00"/>
        <d v="2025-01-08T00:00:00"/>
        <d v="2025-01-10T00:00:00"/>
        <d v="2025-01-15T00:00:00"/>
        <d v="2025-01-20T00:00:00"/>
        <d v="2025-01-25T00:00:00"/>
        <d v="2025-01-28T00:00:00"/>
        <d v="2025-01-31T00:00:00"/>
      </sharedItems>
    </cacheField>
    <cacheField name="Account Name" numFmtId="0">
      <sharedItems count="15">
        <s v="Owner's Equity"/>
        <s v="Cash"/>
        <s v="Office Furniture"/>
        <s v="Accounts Payable"/>
        <s v="Service Revenue"/>
        <s v="Accounts Recieveable"/>
        <s v="Office Supplies"/>
        <s v="Rent Expense"/>
        <s v="Utility Expense"/>
        <s v="Payroll"/>
        <s v="Depreciation Expense"/>
        <s v="Accumlated Expenses"/>
        <s v="Payroll Payable"/>
        <s v="Taxes"/>
        <s v="Govt"/>
      </sharedItems>
    </cacheField>
    <cacheField name="Account Number" numFmtId="1">
      <sharedItems containsSemiMixedTypes="0" containsString="0" containsNumber="1" containsInteger="1" minValue="101" maxValue="901"/>
    </cacheField>
    <cacheField name="Description" numFmtId="0">
      <sharedItems count="15">
        <s v="Owner Investment"/>
        <s v="Purchase of office funiture on credit"/>
        <s v="Purchase of office furniture on credit"/>
        <s v="IT Consulting Service  on account: Client 1"/>
        <s v="IT Consulting Service on account: Client 1"/>
        <s v="Purchase of office supplies"/>
        <s v="Cash from account client 1"/>
        <s v="Office furniture purchased on credit"/>
        <s v="IT Consulting Service, Unpaid"/>
        <s v="Rent for the month"/>
        <s v="Utility bill for the month, Unpaid"/>
        <s v="Pays employee salaries"/>
        <s v="Adjusted entry- Depreciation Expense on Office Furniture"/>
        <s v="Adjusted Entry- Accured Wages, Unpaid"/>
        <s v="Payable Taxes to Govt"/>
      </sharedItems>
    </cacheField>
    <cacheField name="Debit" numFmtId="0">
      <sharedItems containsString="0" containsBlank="1" containsNumber="1" containsInteger="1" minValue="58" maxValue="10000"/>
    </cacheField>
    <cacheField name="Credit" numFmtId="164">
      <sharedItems containsString="0" containsBlank="1" containsNumber="1" containsInteger="1" minValue="58" maxValue="10000"/>
    </cacheField>
    <cacheField name="Balance" numFmtId="0" formula="Debit-Credit" databaseField="0"/>
  </cacheFields>
  <extLst>
    <ext xmlns:x14="http://schemas.microsoft.com/office/spreadsheetml/2009/9/main" uri="{725AE2AE-9491-48be-B2B4-4EB974FC3084}">
      <x14:pivotCacheDefinition pivotCacheId="327629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x v="0"/>
    <x v="0"/>
    <n v="201"/>
    <x v="0"/>
    <m/>
    <n v="10000"/>
  </r>
  <r>
    <x v="0"/>
    <x v="0"/>
    <x v="1"/>
    <n v="101"/>
    <x v="0"/>
    <n v="10000"/>
    <m/>
  </r>
  <r>
    <x v="1"/>
    <x v="1"/>
    <x v="2"/>
    <n v="301"/>
    <x v="1"/>
    <n v="2500"/>
    <m/>
  </r>
  <r>
    <x v="1"/>
    <x v="1"/>
    <x v="3"/>
    <n v="401"/>
    <x v="2"/>
    <m/>
    <n v="2500"/>
  </r>
  <r>
    <x v="2"/>
    <x v="2"/>
    <x v="4"/>
    <n v="601"/>
    <x v="3"/>
    <m/>
    <n v="4000"/>
  </r>
  <r>
    <x v="2"/>
    <x v="2"/>
    <x v="5"/>
    <n v="501"/>
    <x v="4"/>
    <n v="4000"/>
    <m/>
  </r>
  <r>
    <x v="3"/>
    <x v="3"/>
    <x v="6"/>
    <n v="701"/>
    <x v="5"/>
    <n v="600"/>
    <m/>
  </r>
  <r>
    <x v="3"/>
    <x v="3"/>
    <x v="1"/>
    <n v="101"/>
    <x v="5"/>
    <m/>
    <n v="600"/>
  </r>
  <r>
    <x v="4"/>
    <x v="4"/>
    <x v="1"/>
    <n v="101"/>
    <x v="6"/>
    <n v="2000"/>
    <m/>
  </r>
  <r>
    <x v="4"/>
    <x v="4"/>
    <x v="5"/>
    <n v="501"/>
    <x v="6"/>
    <m/>
    <n v="2000"/>
  </r>
  <r>
    <x v="5"/>
    <x v="5"/>
    <x v="1"/>
    <n v="101"/>
    <x v="7"/>
    <m/>
    <n v="2500"/>
  </r>
  <r>
    <x v="5"/>
    <x v="5"/>
    <x v="3"/>
    <n v="401"/>
    <x v="7"/>
    <n v="2500"/>
    <m/>
  </r>
  <r>
    <x v="6"/>
    <x v="6"/>
    <x v="4"/>
    <n v="601"/>
    <x v="8"/>
    <m/>
    <n v="3000"/>
  </r>
  <r>
    <x v="6"/>
    <x v="6"/>
    <x v="5"/>
    <n v="501"/>
    <x v="8"/>
    <n v="3000"/>
    <m/>
  </r>
  <r>
    <x v="7"/>
    <x v="7"/>
    <x v="7"/>
    <n v="901"/>
    <x v="9"/>
    <n v="1200"/>
    <m/>
  </r>
  <r>
    <x v="7"/>
    <x v="7"/>
    <x v="1"/>
    <n v="101"/>
    <x v="9"/>
    <m/>
    <n v="1200"/>
  </r>
  <r>
    <x v="8"/>
    <x v="8"/>
    <x v="8"/>
    <n v="702"/>
    <x v="10"/>
    <n v="500"/>
    <m/>
  </r>
  <r>
    <x v="8"/>
    <x v="8"/>
    <x v="3"/>
    <n v="401"/>
    <x v="10"/>
    <m/>
    <n v="500"/>
  </r>
  <r>
    <x v="9"/>
    <x v="9"/>
    <x v="9"/>
    <n v="801"/>
    <x v="11"/>
    <n v="3000"/>
    <m/>
  </r>
  <r>
    <x v="9"/>
    <x v="9"/>
    <x v="1"/>
    <n v="101"/>
    <x v="11"/>
    <m/>
    <n v="3000"/>
  </r>
  <r>
    <x v="10"/>
    <x v="9"/>
    <x v="10"/>
    <n v="301"/>
    <x v="12"/>
    <n v="100"/>
    <m/>
  </r>
  <r>
    <x v="10"/>
    <x v="9"/>
    <x v="11"/>
    <n v="802"/>
    <x v="12"/>
    <m/>
    <n v="100"/>
  </r>
  <r>
    <x v="11"/>
    <x v="9"/>
    <x v="9"/>
    <n v="801"/>
    <x v="13"/>
    <n v="1500"/>
    <m/>
  </r>
  <r>
    <x v="11"/>
    <x v="9"/>
    <x v="12"/>
    <n v="402"/>
    <x v="13"/>
    <m/>
    <n v="1500"/>
  </r>
  <r>
    <x v="12"/>
    <x v="9"/>
    <x v="13"/>
    <n v="803"/>
    <x v="14"/>
    <n v="58"/>
    <m/>
  </r>
  <r>
    <x v="12"/>
    <x v="9"/>
    <x v="14"/>
    <n v="804"/>
    <x v="14"/>
    <m/>
    <n v="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7255321-EAD6-4B00-BC40-3966D60309B0}"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
  <location ref="A3:G30" firstHeaderRow="0" firstDataRow="1" firstDataCol="4"/>
  <pivotFields count="8">
    <pivotField axis="axisRow" compact="0" outline="0" showAll="0" defaultSubtotal="0">
      <items count="13">
        <item x="0"/>
        <item x="1"/>
        <item x="2"/>
        <item x="3"/>
        <item x="4"/>
        <item x="5"/>
        <item x="6"/>
        <item x="7"/>
        <item x="8"/>
        <item x="9"/>
        <item x="10"/>
        <item x="11"/>
        <item x="12"/>
      </items>
      <extLst>
        <ext xmlns:x14="http://schemas.microsoft.com/office/spreadsheetml/2009/9/main" uri="{2946ED86-A175-432a-8AC1-64E0C546D7DE}">
          <x14:pivotField fillDownLabels="1"/>
        </ext>
      </extLst>
    </pivotField>
    <pivotField axis="axisRow" compact="0" numFmtId="14" outline="0" showAll="0" defaultSubtotal="0">
      <items count="10">
        <item x="0"/>
        <item x="1"/>
        <item x="2"/>
        <item x="3"/>
        <item x="4"/>
        <item x="5"/>
        <item x="6"/>
        <item x="7"/>
        <item x="8"/>
        <item x="9"/>
      </items>
      <extLst>
        <ext xmlns:x14="http://schemas.microsoft.com/office/spreadsheetml/2009/9/main" uri="{2946ED86-A175-432a-8AC1-64E0C546D7DE}">
          <x14:pivotField fillDownLabels="1"/>
        </ext>
      </extLst>
    </pivotField>
    <pivotField axis="axisRow" compact="0" outline="0" showAll="0" defaultSubtotal="0">
      <items count="15">
        <item x="3"/>
        <item x="5"/>
        <item x="1"/>
        <item x="2"/>
        <item x="6"/>
        <item x="0"/>
        <item x="7"/>
        <item x="4"/>
        <item x="8"/>
        <item x="10"/>
        <item x="11"/>
        <item x="9"/>
        <item x="12"/>
        <item x="13"/>
        <item x="14"/>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axis="axisRow" compact="0" outline="0" showAll="0" defaultSubtotal="0">
      <items count="15">
        <item x="13"/>
        <item x="12"/>
        <item x="6"/>
        <item x="3"/>
        <item x="4"/>
        <item x="8"/>
        <item x="7"/>
        <item x="0"/>
        <item x="11"/>
        <item x="1"/>
        <item x="2"/>
        <item x="5"/>
        <item x="9"/>
        <item x="10"/>
        <item x="14"/>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4">
    <field x="1"/>
    <field x="2"/>
    <field x="4"/>
    <field x="0"/>
  </rowFields>
  <rowItems count="27">
    <i>
      <x/>
      <x v="2"/>
      <x v="7"/>
      <x/>
    </i>
    <i r="1">
      <x v="5"/>
      <x v="7"/>
      <x/>
    </i>
    <i>
      <x v="1"/>
      <x/>
      <x v="10"/>
      <x v="1"/>
    </i>
    <i r="1">
      <x v="3"/>
      <x v="9"/>
      <x v="1"/>
    </i>
    <i>
      <x v="2"/>
      <x v="1"/>
      <x v="4"/>
      <x v="2"/>
    </i>
    <i r="1">
      <x v="7"/>
      <x v="3"/>
      <x v="2"/>
    </i>
    <i>
      <x v="3"/>
      <x v="2"/>
      <x v="11"/>
      <x v="3"/>
    </i>
    <i r="1">
      <x v="4"/>
      <x v="11"/>
      <x v="3"/>
    </i>
    <i>
      <x v="4"/>
      <x v="1"/>
      <x v="2"/>
      <x v="4"/>
    </i>
    <i r="1">
      <x v="2"/>
      <x v="2"/>
      <x v="4"/>
    </i>
    <i>
      <x v="5"/>
      <x/>
      <x v="6"/>
      <x v="5"/>
    </i>
    <i r="1">
      <x v="2"/>
      <x v="6"/>
      <x v="5"/>
    </i>
    <i>
      <x v="6"/>
      <x v="1"/>
      <x v="5"/>
      <x v="6"/>
    </i>
    <i r="1">
      <x v="7"/>
      <x v="5"/>
      <x v="6"/>
    </i>
    <i>
      <x v="7"/>
      <x v="2"/>
      <x v="12"/>
      <x v="7"/>
    </i>
    <i r="1">
      <x v="6"/>
      <x v="12"/>
      <x v="7"/>
    </i>
    <i>
      <x v="8"/>
      <x/>
      <x v="13"/>
      <x v="8"/>
    </i>
    <i r="1">
      <x v="8"/>
      <x v="13"/>
      <x v="8"/>
    </i>
    <i>
      <x v="9"/>
      <x v="2"/>
      <x v="8"/>
      <x v="9"/>
    </i>
    <i r="1">
      <x v="9"/>
      <x v="1"/>
      <x v="10"/>
    </i>
    <i r="1">
      <x v="10"/>
      <x v="1"/>
      <x v="10"/>
    </i>
    <i r="1">
      <x v="11"/>
      <x/>
      <x v="11"/>
    </i>
    <i r="2">
      <x v="8"/>
      <x v="9"/>
    </i>
    <i r="1">
      <x v="12"/>
      <x/>
      <x v="11"/>
    </i>
    <i r="1">
      <x v="13"/>
      <x v="14"/>
      <x v="12"/>
    </i>
    <i r="1">
      <x v="14"/>
      <x v="14"/>
      <x v="12"/>
    </i>
    <i t="grand">
      <x/>
    </i>
  </rowItems>
  <colFields count="1">
    <field x="-2"/>
  </colFields>
  <colItems count="3">
    <i>
      <x/>
    </i>
    <i i="1">
      <x v="1"/>
    </i>
    <i i="2">
      <x v="2"/>
    </i>
  </colItems>
  <dataFields count="3">
    <dataField name="Sum of Debit" fld="5" baseField="2" baseItem="2" numFmtId="3"/>
    <dataField name="Sum of Credit" fld="6" baseField="2" baseItem="2" numFmtId="3"/>
    <dataField name="Sum of Balance" fld="7" baseField="2" baseItem="5" numFmtId="42"/>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550734-DC3E-4D2C-88F8-1D27146F7F98}"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3:D19" firstHeaderRow="0" firstDataRow="1" firstDataCol="1"/>
  <pivotFields count="8">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axis="axisRow" compact="0" outline="0" showAll="0" defaultSubtotal="0">
      <items count="15">
        <item x="3"/>
        <item sd="0" x="5"/>
        <item x="1"/>
        <item x="2"/>
        <item x="6"/>
        <item x="0"/>
        <item x="7"/>
        <item x="4"/>
        <item x="8"/>
        <item x="10"/>
        <item x="11"/>
        <item x="9"/>
        <item x="12"/>
        <item x="13"/>
        <item x="14"/>
      </items>
      <extLst>
        <ext xmlns:x14="http://schemas.microsoft.com/office/spreadsheetml/2009/9/main" uri="{2946ED86-A175-432a-8AC1-64E0C546D7DE}">
          <x14:pivotField fillDownLabels="1"/>
        </ext>
      </extLst>
    </pivotField>
    <pivotField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ubtotalTop="0" dragToRow="0" dragToCol="0" dragToPage="0" showAll="0" defaultSubtotal="0">
      <extLst>
        <ext xmlns:x14="http://schemas.microsoft.com/office/spreadsheetml/2009/9/main" uri="{2946ED86-A175-432a-8AC1-64E0C546D7DE}">
          <x14:pivotField fillDownLabels="1"/>
        </ext>
      </extLst>
    </pivotField>
  </pivotFields>
  <rowFields count="1">
    <field x="2"/>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Sum of Debit" fld="5" baseField="2" baseItem="2" numFmtId="3"/>
    <dataField name="Sum of Credit" fld="6" baseField="2" baseItem="2" numFmtId="3"/>
    <dataField name="Sum of Balance" fld="7" baseField="2" baseItem="5" numFmtId="42"/>
  </dataField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Name" xr10:uid="{A7D80634-F177-473D-9C2C-784EE96C44DF}" sourceName="Account Name">
  <pivotTables>
    <pivotTable tabId="13" name="PivotTable1"/>
  </pivotTables>
  <data>
    <tabular pivotCacheId="327629112">
      <items count="15">
        <i x="3" s="1"/>
        <i x="5" s="1"/>
        <i x="11" s="1"/>
        <i x="1" s="1"/>
        <i x="10" s="1"/>
        <i x="14" s="1"/>
        <i x="2" s="1"/>
        <i x="6" s="1"/>
        <i x="0" s="1"/>
        <i x="9" s="1"/>
        <i x="12" s="1"/>
        <i x="7" s="1"/>
        <i x="4" s="1"/>
        <i x="13"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Name" xr10:uid="{6386A600-0F7B-4986-A8B9-03842C387E16}" cache="Slicer_Account_Name" caption="Account Name" startItem="7"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AC079B-8B46-43EB-A15D-CF014D153F19}" name="Table1" displayName="Table1" ref="A4:H31" totalsRowShown="0" headerRowDxfId="16" dataDxfId="14" headerRowBorderDxfId="15" tableBorderDxfId="13">
  <autoFilter ref="A4:H31" xr:uid="{28AC079B-8B46-43EB-A15D-CF014D153F19}"/>
  <tableColumns count="8">
    <tableColumn id="1" xr3:uid="{4BA46FB9-949B-4C5B-A555-8D2FCB0CD919}" name="T.No" dataDxfId="12"/>
    <tableColumn id="2" xr3:uid="{9A377466-8509-400C-B91B-D7BE992D36FD}" name="Date" dataDxfId="11"/>
    <tableColumn id="3" xr3:uid="{CA6C5CFA-E7BB-4E57-AC48-427FD71DD0D7}" name="Account Name" dataDxfId="10"/>
    <tableColumn id="4" xr3:uid="{2476F71A-BFAC-492A-A40B-BDCEDEAF40AF}" name="Account Number" dataDxfId="9"/>
    <tableColumn id="5" xr3:uid="{215DB0A1-387D-405E-AA31-644EA363D060}" name="Description" dataDxfId="8"/>
    <tableColumn id="6" xr3:uid="{566B27E9-12ED-4949-AA0A-76D0B79E5818}" name="Debit" dataDxfId="7"/>
    <tableColumn id="7" xr3:uid="{3404AD1C-78C8-443B-BA0B-DE913E3C8300}" name="Credit" dataDxfId="6"/>
    <tableColumn id="8" xr3:uid="{21B736BB-B872-4427-B2CA-3E03985A25F5}" name="Running Balance"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F5DEE-9EC8-4EDB-A0E5-EF74ACE35014}">
  <dimension ref="A1:G17"/>
  <sheetViews>
    <sheetView workbookViewId="0">
      <selection activeCell="D29" sqref="D29"/>
    </sheetView>
  </sheetViews>
  <sheetFormatPr defaultRowHeight="15" x14ac:dyDescent="0.25"/>
  <cols>
    <col min="1" max="1" width="14.85546875" customWidth="1"/>
    <col min="3" max="3" width="15.5703125" customWidth="1"/>
    <col min="4" max="4" width="17.5703125" customWidth="1"/>
    <col min="5" max="5" width="21" customWidth="1"/>
    <col min="6" max="6" width="20.7109375" customWidth="1"/>
    <col min="7" max="7" width="15" customWidth="1"/>
  </cols>
  <sheetData>
    <row r="1" spans="1:7" x14ac:dyDescent="0.25">
      <c r="A1" s="1" t="s">
        <v>37</v>
      </c>
      <c r="C1" t="s">
        <v>37</v>
      </c>
      <c r="D1" t="s">
        <v>43</v>
      </c>
      <c r="E1" t="s">
        <v>60</v>
      </c>
      <c r="F1" s="1" t="s">
        <v>45</v>
      </c>
      <c r="G1" s="1" t="s">
        <v>43</v>
      </c>
    </row>
    <row r="2" spans="1:7" x14ac:dyDescent="0.25">
      <c r="A2" s="1" t="s">
        <v>39</v>
      </c>
      <c r="C2" t="s">
        <v>39</v>
      </c>
      <c r="D2" t="s">
        <v>40</v>
      </c>
      <c r="E2" t="s">
        <v>38</v>
      </c>
      <c r="F2" t="s">
        <v>7</v>
      </c>
      <c r="G2" t="s">
        <v>40</v>
      </c>
    </row>
    <row r="3" spans="1:7" x14ac:dyDescent="0.25">
      <c r="A3" s="1" t="s">
        <v>41</v>
      </c>
      <c r="C3" t="s">
        <v>39</v>
      </c>
      <c r="D3" t="s">
        <v>44</v>
      </c>
      <c r="E3" t="s">
        <v>38</v>
      </c>
      <c r="F3" t="s">
        <v>8</v>
      </c>
      <c r="G3" t="s">
        <v>42</v>
      </c>
    </row>
    <row r="4" spans="1:7" x14ac:dyDescent="0.25">
      <c r="A4" s="1" t="s">
        <v>42</v>
      </c>
      <c r="C4" t="s">
        <v>39</v>
      </c>
      <c r="D4" t="s">
        <v>54</v>
      </c>
      <c r="E4" t="s">
        <v>38</v>
      </c>
      <c r="F4" t="s">
        <v>25</v>
      </c>
      <c r="G4" t="s">
        <v>48</v>
      </c>
    </row>
    <row r="5" spans="1:7" x14ac:dyDescent="0.25">
      <c r="A5" s="1" t="s">
        <v>36</v>
      </c>
      <c r="C5" t="s">
        <v>41</v>
      </c>
      <c r="D5" t="s">
        <v>46</v>
      </c>
      <c r="E5" t="s">
        <v>38</v>
      </c>
      <c r="F5" t="s">
        <v>27</v>
      </c>
      <c r="G5" t="s">
        <v>46</v>
      </c>
    </row>
    <row r="6" spans="1:7" x14ac:dyDescent="0.25">
      <c r="A6" s="1" t="s">
        <v>35</v>
      </c>
      <c r="C6" t="s">
        <v>41</v>
      </c>
      <c r="D6" t="s">
        <v>47</v>
      </c>
      <c r="E6" t="s">
        <v>38</v>
      </c>
      <c r="F6" t="s">
        <v>34</v>
      </c>
      <c r="G6" t="s">
        <v>46</v>
      </c>
    </row>
    <row r="7" spans="1:7" x14ac:dyDescent="0.25">
      <c r="C7" t="s">
        <v>42</v>
      </c>
      <c r="D7" t="s">
        <v>42</v>
      </c>
      <c r="E7" t="s">
        <v>58</v>
      </c>
      <c r="F7" t="s">
        <v>11</v>
      </c>
      <c r="G7" t="s">
        <v>40</v>
      </c>
    </row>
    <row r="8" spans="1:7" x14ac:dyDescent="0.25">
      <c r="C8" t="s">
        <v>36</v>
      </c>
      <c r="D8" t="s">
        <v>36</v>
      </c>
      <c r="E8" t="s">
        <v>58</v>
      </c>
      <c r="F8" t="s">
        <v>26</v>
      </c>
      <c r="G8" t="s">
        <v>40</v>
      </c>
    </row>
    <row r="9" spans="1:7" x14ac:dyDescent="0.25">
      <c r="C9" t="s">
        <v>35</v>
      </c>
      <c r="D9" t="s">
        <v>35</v>
      </c>
      <c r="E9" t="s">
        <v>58</v>
      </c>
      <c r="F9" t="s">
        <v>12</v>
      </c>
      <c r="G9" t="s">
        <v>40</v>
      </c>
    </row>
    <row r="10" spans="1:7" x14ac:dyDescent="0.25">
      <c r="F10" t="s">
        <v>19</v>
      </c>
      <c r="G10" t="s">
        <v>36</v>
      </c>
    </row>
    <row r="11" spans="1:7" x14ac:dyDescent="0.25">
      <c r="F11" t="s">
        <v>22</v>
      </c>
      <c r="G11" t="s">
        <v>36</v>
      </c>
    </row>
    <row r="12" spans="1:7" x14ac:dyDescent="0.25">
      <c r="F12" t="s">
        <v>31</v>
      </c>
      <c r="G12" t="s">
        <v>36</v>
      </c>
    </row>
    <row r="13" spans="1:7" x14ac:dyDescent="0.25">
      <c r="F13" t="s">
        <v>33</v>
      </c>
      <c r="G13" t="s">
        <v>36</v>
      </c>
    </row>
    <row r="14" spans="1:7" x14ac:dyDescent="0.25">
      <c r="F14" t="s">
        <v>53</v>
      </c>
      <c r="G14" t="s">
        <v>54</v>
      </c>
    </row>
    <row r="15" spans="1:7" x14ac:dyDescent="0.25">
      <c r="F15" t="s">
        <v>67</v>
      </c>
    </row>
    <row r="16" spans="1:7" x14ac:dyDescent="0.25">
      <c r="F16" t="s">
        <v>68</v>
      </c>
    </row>
    <row r="17" spans="6:6" x14ac:dyDescent="0.25">
      <c r="F17" t="s">
        <v>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25824-ED7D-470B-80ED-443C4C74F39B}">
  <dimension ref="A2:H32"/>
  <sheetViews>
    <sheetView topLeftCell="A3" workbookViewId="0">
      <selection activeCell="G7" sqref="G7"/>
    </sheetView>
  </sheetViews>
  <sheetFormatPr defaultRowHeight="15" x14ac:dyDescent="0.25"/>
  <cols>
    <col min="2" max="2" width="12.85546875" customWidth="1"/>
    <col min="3" max="3" width="52" customWidth="1"/>
    <col min="4" max="4" width="23" style="12" customWidth="1"/>
    <col min="5" max="5" width="50.5703125" style="1" customWidth="1"/>
    <col min="6" max="6" width="15.85546875" customWidth="1"/>
    <col min="7" max="7" width="11.5703125" bestFit="1" customWidth="1"/>
    <col min="8" max="8" width="33.7109375" customWidth="1"/>
  </cols>
  <sheetData>
    <row r="2" spans="1:8" ht="21.75" thickBot="1" x14ac:dyDescent="0.3">
      <c r="D2" s="69" t="s">
        <v>32</v>
      </c>
      <c r="E2" s="69"/>
    </row>
    <row r="3" spans="1:8" ht="21" x14ac:dyDescent="0.35">
      <c r="A3" s="67" t="s">
        <v>21</v>
      </c>
      <c r="B3" s="68"/>
      <c r="C3" s="68"/>
      <c r="D3" s="68"/>
      <c r="E3" s="68"/>
      <c r="F3" s="68"/>
      <c r="G3" s="68"/>
      <c r="H3" s="10"/>
    </row>
    <row r="4" spans="1:8" ht="21.75" customHeight="1" x14ac:dyDescent="0.25">
      <c r="A4" s="21" t="s">
        <v>0</v>
      </c>
      <c r="B4" s="22" t="s">
        <v>1</v>
      </c>
      <c r="C4" s="22" t="s">
        <v>6</v>
      </c>
      <c r="D4" s="23" t="s">
        <v>30</v>
      </c>
      <c r="E4" s="22" t="s">
        <v>2</v>
      </c>
      <c r="F4" s="22" t="s">
        <v>3</v>
      </c>
      <c r="G4" s="22" t="s">
        <v>4</v>
      </c>
      <c r="H4" s="24" t="s">
        <v>29</v>
      </c>
    </row>
    <row r="5" spans="1:8" x14ac:dyDescent="0.25">
      <c r="A5" s="4">
        <v>1</v>
      </c>
      <c r="B5" s="5">
        <v>45658</v>
      </c>
      <c r="C5" s="3" t="s">
        <v>8</v>
      </c>
      <c r="D5" s="11">
        <v>201</v>
      </c>
      <c r="E5" s="2" t="s">
        <v>5</v>
      </c>
      <c r="F5" s="6"/>
      <c r="G5" s="6">
        <v>10000</v>
      </c>
      <c r="H5" s="7" t="str">
        <f>IF(C5="Cash",SUMIF(C$5:C5,"Cash",F$5:F5)-SUMIF(C$5:C5,"Cash",G$5:G5),"")</f>
        <v/>
      </c>
    </row>
    <row r="6" spans="1:8" x14ac:dyDescent="0.25">
      <c r="A6" s="4">
        <v>1</v>
      </c>
      <c r="B6" s="5">
        <v>45658</v>
      </c>
      <c r="C6" s="3" t="s">
        <v>7</v>
      </c>
      <c r="D6" s="11">
        <v>101</v>
      </c>
      <c r="E6" s="2" t="s">
        <v>5</v>
      </c>
      <c r="F6" s="6">
        <v>10000</v>
      </c>
      <c r="G6" s="6"/>
      <c r="H6" s="7">
        <f>IF(C6="Cash",SUMIF(C$5:C6,"Cash",F$5:F6)-SUMIF(C$5:C6,"Cash",G$5:G6),"")</f>
        <v>10000</v>
      </c>
    </row>
    <row r="7" spans="1:8" x14ac:dyDescent="0.25">
      <c r="A7" s="4">
        <v>2</v>
      </c>
      <c r="B7" s="5">
        <v>45660</v>
      </c>
      <c r="C7" s="2" t="s">
        <v>25</v>
      </c>
      <c r="D7" s="11">
        <v>301</v>
      </c>
      <c r="E7" s="2" t="s">
        <v>9</v>
      </c>
      <c r="F7" s="6">
        <v>2500</v>
      </c>
      <c r="G7" s="6"/>
      <c r="H7" s="7" t="str">
        <f>IF(C7="Cash",SUMIF(C$5:C7,"Cash",F$5:F7)-SUMIF(C$5:C7,"Cash",G$5:G7),"")</f>
        <v/>
      </c>
    </row>
    <row r="8" spans="1:8" x14ac:dyDescent="0.25">
      <c r="A8" s="4">
        <v>2</v>
      </c>
      <c r="B8" s="5">
        <v>45660</v>
      </c>
      <c r="C8" s="2" t="s">
        <v>27</v>
      </c>
      <c r="D8" s="11">
        <v>401</v>
      </c>
      <c r="E8" s="2" t="s">
        <v>10</v>
      </c>
      <c r="F8" s="6"/>
      <c r="G8" s="6">
        <v>2500</v>
      </c>
      <c r="H8" s="7" t="str">
        <f>IF(C8="Cash",SUMIF(C$5:C8,"Cash",F$5:F8)-SUMIF(C$5:C8,"Cash",G$5:G8),"")</f>
        <v/>
      </c>
    </row>
    <row r="9" spans="1:8" x14ac:dyDescent="0.25">
      <c r="A9" s="4">
        <v>3</v>
      </c>
      <c r="B9" s="5">
        <v>45662</v>
      </c>
      <c r="C9" s="2" t="s">
        <v>11</v>
      </c>
      <c r="D9" s="11">
        <v>601</v>
      </c>
      <c r="E9" s="2" t="s">
        <v>15</v>
      </c>
      <c r="F9" s="6"/>
      <c r="G9" s="6">
        <v>4000</v>
      </c>
      <c r="H9" s="7" t="str">
        <f>IF(C9="Cash",SUMIF(C$5:C9,"Cash",F$5:F9)-SUMIF(C$5:C9,"Cash",G$5:G9),"")</f>
        <v/>
      </c>
    </row>
    <row r="10" spans="1:8" x14ac:dyDescent="0.25">
      <c r="A10" s="4">
        <v>3</v>
      </c>
      <c r="B10" s="5">
        <v>45662</v>
      </c>
      <c r="C10" s="2" t="s">
        <v>26</v>
      </c>
      <c r="D10" s="11">
        <v>501</v>
      </c>
      <c r="E10" s="2" t="s">
        <v>14</v>
      </c>
      <c r="F10" s="6">
        <v>4000</v>
      </c>
      <c r="G10" s="6"/>
      <c r="H10" s="7" t="str">
        <f>IF(C10="Cash",SUMIF(C$5:C10,"Cash",F$5:F10)-SUMIF(C$5:C10,"Cash",G$5:G10),"")</f>
        <v/>
      </c>
    </row>
    <row r="11" spans="1:8" x14ac:dyDescent="0.25">
      <c r="A11" s="4">
        <v>4</v>
      </c>
      <c r="B11" s="5">
        <v>45665</v>
      </c>
      <c r="C11" s="2" t="s">
        <v>12</v>
      </c>
      <c r="D11" s="11">
        <v>701</v>
      </c>
      <c r="E11" s="2" t="s">
        <v>13</v>
      </c>
      <c r="F11" s="6">
        <v>600</v>
      </c>
      <c r="G11" s="6"/>
      <c r="H11" s="7" t="str">
        <f>IF(C11="Cash",SUMIF(C$5:C11,"Cash",F$5:F11)-SUMIF(C$5:C11,"Cash",G$5:G11),"")</f>
        <v/>
      </c>
    </row>
    <row r="12" spans="1:8" x14ac:dyDescent="0.25">
      <c r="A12" s="4">
        <v>4</v>
      </c>
      <c r="B12" s="5">
        <v>45665</v>
      </c>
      <c r="C12" s="2" t="s">
        <v>7</v>
      </c>
      <c r="D12" s="11">
        <v>101</v>
      </c>
      <c r="E12" s="2" t="s">
        <v>13</v>
      </c>
      <c r="F12" s="6"/>
      <c r="G12" s="6">
        <v>600</v>
      </c>
      <c r="H12" s="7">
        <f>IF(C12="Cash",SUMIF(C$5:C12,"Cash",F$5:F12)-SUMIF(C$5:C12,"Cash",G$5:G12),"")</f>
        <v>9400</v>
      </c>
    </row>
    <row r="13" spans="1:8" x14ac:dyDescent="0.25">
      <c r="A13" s="4">
        <v>5</v>
      </c>
      <c r="B13" s="5">
        <v>45667</v>
      </c>
      <c r="C13" s="2" t="s">
        <v>7</v>
      </c>
      <c r="D13" s="11">
        <v>101</v>
      </c>
      <c r="E13" s="2" t="s">
        <v>16</v>
      </c>
      <c r="F13" s="6">
        <v>2000</v>
      </c>
      <c r="G13" s="6"/>
      <c r="H13" s="7">
        <f>IF(C13="Cash",SUMIF(C$5:C13,"Cash",F$5:F13)-SUMIF(C$5:C13,"Cash",G$5:G13),"")</f>
        <v>11400</v>
      </c>
    </row>
    <row r="14" spans="1:8" x14ac:dyDescent="0.25">
      <c r="A14" s="4">
        <v>5</v>
      </c>
      <c r="B14" s="5">
        <v>45667</v>
      </c>
      <c r="C14" s="2" t="s">
        <v>26</v>
      </c>
      <c r="D14" s="11">
        <v>501</v>
      </c>
      <c r="E14" s="2" t="s">
        <v>16</v>
      </c>
      <c r="F14" s="6"/>
      <c r="G14" s="6">
        <v>2000</v>
      </c>
      <c r="H14" s="7" t="str">
        <f>IF(C14="Cash",SUMIF(C$5:C14,"Cash",F$5:F14)-SUMIF(C$5:C14,"Cash",G$5:G14),"")</f>
        <v/>
      </c>
    </row>
    <row r="15" spans="1:8" x14ac:dyDescent="0.25">
      <c r="A15" s="4">
        <v>6</v>
      </c>
      <c r="B15" s="5">
        <v>45672</v>
      </c>
      <c r="C15" s="2" t="s">
        <v>7</v>
      </c>
      <c r="D15" s="11">
        <v>101</v>
      </c>
      <c r="E15" s="2" t="s">
        <v>17</v>
      </c>
      <c r="F15" s="6"/>
      <c r="G15" s="6">
        <v>2500</v>
      </c>
      <c r="H15" s="7">
        <f>IF(C15="Cash",SUMIF(C$5:C15,"Cash",F$5:F15)-SUMIF(C$5:C15,"Cash",G$5:G15),"")</f>
        <v>8900</v>
      </c>
    </row>
    <row r="16" spans="1:8" x14ac:dyDescent="0.25">
      <c r="A16" s="4">
        <v>6</v>
      </c>
      <c r="B16" s="5">
        <v>45672</v>
      </c>
      <c r="C16" s="2" t="s">
        <v>27</v>
      </c>
      <c r="D16" s="11">
        <v>401</v>
      </c>
      <c r="E16" s="2" t="s">
        <v>17</v>
      </c>
      <c r="F16" s="6">
        <v>2500</v>
      </c>
      <c r="G16" s="6"/>
      <c r="H16" s="7" t="str">
        <f>IF(C16="Cash",SUMIF(C$5:C16,"Cash",F$5:F16)-SUMIF(C$5:C16,"Cash",G$5:G16),"")</f>
        <v/>
      </c>
    </row>
    <row r="17" spans="1:8" x14ac:dyDescent="0.25">
      <c r="A17" s="4">
        <v>7</v>
      </c>
      <c r="B17" s="5">
        <v>45677</v>
      </c>
      <c r="C17" s="2" t="s">
        <v>11</v>
      </c>
      <c r="D17" s="11">
        <v>601</v>
      </c>
      <c r="E17" s="2" t="s">
        <v>18</v>
      </c>
      <c r="F17" s="6"/>
      <c r="G17" s="6">
        <v>3000</v>
      </c>
      <c r="H17" s="7" t="str">
        <f>IF(C17="Cash",SUMIF(C$5:C17,"Cash",F$5:F17)-SUMIF(C$5:C17,"Cash",G$5:G17),"")</f>
        <v/>
      </c>
    </row>
    <row r="18" spans="1:8" x14ac:dyDescent="0.25">
      <c r="A18" s="4">
        <v>7</v>
      </c>
      <c r="B18" s="5">
        <v>45677</v>
      </c>
      <c r="C18" s="2" t="s">
        <v>26</v>
      </c>
      <c r="D18" s="11">
        <v>501</v>
      </c>
      <c r="E18" s="2" t="s">
        <v>18</v>
      </c>
      <c r="F18" s="6">
        <v>3000</v>
      </c>
      <c r="G18" s="6"/>
      <c r="H18" s="7" t="str">
        <f>IF(C18="Cash",SUMIF(C$5:C18,"Cash",F$5:F18)-SUMIF(C$5:C18,"Cash",G$5:G18),"")</f>
        <v/>
      </c>
    </row>
    <row r="19" spans="1:8" x14ac:dyDescent="0.25">
      <c r="A19" s="4">
        <v>8</v>
      </c>
      <c r="B19" s="5">
        <v>45682</v>
      </c>
      <c r="C19" s="2" t="s">
        <v>19</v>
      </c>
      <c r="D19" s="11">
        <v>901</v>
      </c>
      <c r="E19" s="2" t="s">
        <v>20</v>
      </c>
      <c r="F19" s="6">
        <v>1200</v>
      </c>
      <c r="G19" s="6"/>
      <c r="H19" s="7" t="str">
        <f>IF(C19="Cash",SUMIF(C$5:C19,"Cash",F$5:F19)-SUMIF(C$5:C19,"Cash",G$5:G19),"")</f>
        <v/>
      </c>
    </row>
    <row r="20" spans="1:8" x14ac:dyDescent="0.25">
      <c r="A20" s="4">
        <v>8</v>
      </c>
      <c r="B20" s="5">
        <v>45682</v>
      </c>
      <c r="C20" s="2" t="s">
        <v>7</v>
      </c>
      <c r="D20" s="11">
        <v>101</v>
      </c>
      <c r="E20" s="2" t="s">
        <v>20</v>
      </c>
      <c r="F20" s="6"/>
      <c r="G20" s="6">
        <v>1200</v>
      </c>
      <c r="H20" s="7">
        <f>IF(C20="Cash",SUMIF(C$5:C20,"Cash",F$5:F20)-SUMIF(C$5:C20,"Cash",G$5:G20),"")</f>
        <v>7700</v>
      </c>
    </row>
    <row r="21" spans="1:8" x14ac:dyDescent="0.25">
      <c r="A21" s="4">
        <v>9</v>
      </c>
      <c r="B21" s="5">
        <v>45685</v>
      </c>
      <c r="C21" s="2" t="s">
        <v>22</v>
      </c>
      <c r="D21" s="11">
        <v>702</v>
      </c>
      <c r="E21" s="2" t="s">
        <v>28</v>
      </c>
      <c r="F21" s="6">
        <v>500</v>
      </c>
      <c r="G21" s="6"/>
      <c r="H21" s="7" t="str">
        <f>IF(C21="Cash",SUMIF(C$5:C21,"Cash",F$5:F21)-SUMIF(C$5:C21,"Cash",G$5:G21),"")</f>
        <v/>
      </c>
    </row>
    <row r="22" spans="1:8" x14ac:dyDescent="0.25">
      <c r="A22" s="4">
        <v>9</v>
      </c>
      <c r="B22" s="5">
        <v>45685</v>
      </c>
      <c r="C22" s="2" t="s">
        <v>27</v>
      </c>
      <c r="D22" s="11">
        <v>401</v>
      </c>
      <c r="E22" s="2" t="s">
        <v>28</v>
      </c>
      <c r="F22" s="6"/>
      <c r="G22" s="6">
        <v>500</v>
      </c>
      <c r="H22" s="7" t="str">
        <f>IF(C22="Cash",SUMIF(C$5:C22,"Cash",F$5:F22)-SUMIF(C$5:C22,"Cash",G$5:G22),"")</f>
        <v/>
      </c>
    </row>
    <row r="23" spans="1:8" x14ac:dyDescent="0.25">
      <c r="A23" s="4">
        <v>10</v>
      </c>
      <c r="B23" s="5">
        <v>45688</v>
      </c>
      <c r="C23" s="2" t="s">
        <v>31</v>
      </c>
      <c r="D23" s="11">
        <v>801</v>
      </c>
      <c r="E23" s="2" t="s">
        <v>23</v>
      </c>
      <c r="F23" s="6">
        <v>3000</v>
      </c>
      <c r="G23" s="6"/>
      <c r="H23" s="7" t="str">
        <f>IF(C23="Cash",SUMIF(C$5:C23,"Cash",F$5:F23)-SUMIF(C$5:C23,"Cash",G$5:G23),"")</f>
        <v/>
      </c>
    </row>
    <row r="24" spans="1:8" x14ac:dyDescent="0.25">
      <c r="A24" s="2">
        <v>10</v>
      </c>
      <c r="B24" s="5">
        <v>45688</v>
      </c>
      <c r="C24" s="2" t="s">
        <v>7</v>
      </c>
      <c r="D24" s="11">
        <v>101</v>
      </c>
      <c r="E24" s="2" t="s">
        <v>23</v>
      </c>
      <c r="F24" s="6"/>
      <c r="G24" s="6">
        <v>3000</v>
      </c>
      <c r="H24" s="17">
        <f>IF(C24="Cash",SUMIF(C$5:C24,"Cash",F$5:F24)-SUMIF(C$5:C24,"Cash",G$5:G24),"")</f>
        <v>4700</v>
      </c>
    </row>
    <row r="25" spans="1:8" x14ac:dyDescent="0.25">
      <c r="A25" s="2">
        <v>11</v>
      </c>
      <c r="B25" s="5">
        <v>45688</v>
      </c>
      <c r="C25" s="2" t="s">
        <v>33</v>
      </c>
      <c r="D25" s="11">
        <v>301</v>
      </c>
      <c r="E25" s="2" t="s">
        <v>55</v>
      </c>
      <c r="F25" s="6">
        <v>100</v>
      </c>
      <c r="G25" s="6"/>
      <c r="H25" s="17" t="str">
        <f>IF(C25="Cash",SUMIF(C$5:C25,"Cash",F$5:F25)-SUMIF(C$5:C25,"Cash",G$5:G25),"")</f>
        <v/>
      </c>
    </row>
    <row r="26" spans="1:8" x14ac:dyDescent="0.25">
      <c r="A26" s="2">
        <v>11</v>
      </c>
      <c r="B26" s="5">
        <v>45688</v>
      </c>
      <c r="C26" s="2" t="s">
        <v>53</v>
      </c>
      <c r="D26" s="11">
        <v>802</v>
      </c>
      <c r="E26" s="2" t="s">
        <v>55</v>
      </c>
      <c r="F26" s="6"/>
      <c r="G26" s="6">
        <v>100</v>
      </c>
      <c r="H26" s="17" t="str">
        <f>IF(C26="Cash",SUMIF(C$5:C26,"Cash",F$5:F26)-SUMIF(C$5:C26,"Cash",G$5:G26),"")</f>
        <v/>
      </c>
    </row>
    <row r="27" spans="1:8" x14ac:dyDescent="0.25">
      <c r="A27" s="2">
        <v>12</v>
      </c>
      <c r="B27" s="5">
        <v>45688</v>
      </c>
      <c r="C27" s="2" t="s">
        <v>31</v>
      </c>
      <c r="D27" s="11">
        <v>801</v>
      </c>
      <c r="E27" s="2" t="s">
        <v>56</v>
      </c>
      <c r="F27" s="6">
        <v>1500</v>
      </c>
      <c r="G27" s="6"/>
      <c r="H27" s="17" t="str">
        <f>IF(C27="Cash",SUMIF(C$5:C27,"Cash",F$5:F27)-SUMIF(C$5:C27,"Cash",G$5:G27),"")</f>
        <v/>
      </c>
    </row>
    <row r="28" spans="1:8" x14ac:dyDescent="0.25">
      <c r="A28" s="2">
        <v>12</v>
      </c>
      <c r="B28" s="5">
        <v>45688</v>
      </c>
      <c r="C28" s="2" t="s">
        <v>34</v>
      </c>
      <c r="D28" s="11">
        <v>402</v>
      </c>
      <c r="E28" s="2" t="s">
        <v>56</v>
      </c>
      <c r="F28" s="6"/>
      <c r="G28" s="6">
        <v>1500</v>
      </c>
      <c r="H28" s="17" t="str">
        <f>IF(C28="Cash",SUMIF(C$5:C28,"Cash",F$5:F28)-SUMIF(C$5:C28,"Cash",G$5:G28),"")</f>
        <v/>
      </c>
    </row>
    <row r="29" spans="1:8" x14ac:dyDescent="0.25">
      <c r="A29" s="2">
        <v>13</v>
      </c>
      <c r="B29" s="5">
        <v>45688</v>
      </c>
      <c r="C29" s="2" t="s">
        <v>67</v>
      </c>
      <c r="D29" s="11">
        <v>803</v>
      </c>
      <c r="E29" s="2" t="s">
        <v>69</v>
      </c>
      <c r="F29" s="43">
        <v>58</v>
      </c>
      <c r="G29" s="6"/>
      <c r="H29" s="17"/>
    </row>
    <row r="30" spans="1:8" x14ac:dyDescent="0.25">
      <c r="A30" s="2">
        <v>13</v>
      </c>
      <c r="B30" s="5">
        <v>45688</v>
      </c>
      <c r="C30" s="2" t="s">
        <v>68</v>
      </c>
      <c r="D30" s="11">
        <v>804</v>
      </c>
      <c r="E30" s="2" t="s">
        <v>69</v>
      </c>
      <c r="F30" s="6"/>
      <c r="G30" s="6">
        <v>58</v>
      </c>
      <c r="H30" s="17"/>
    </row>
    <row r="31" spans="1:8" x14ac:dyDescent="0.25">
      <c r="E31" s="8" t="s">
        <v>24</v>
      </c>
      <c r="F31" s="9">
        <f>SUM(F5:F30)-SUM(G5:G30)</f>
        <v>0</v>
      </c>
    </row>
    <row r="32" spans="1:8" x14ac:dyDescent="0.25">
      <c r="F32" s="9">
        <f>SUM(F5:F30)</f>
        <v>30958</v>
      </c>
      <c r="G32" s="9">
        <f>SUM(G5:G30)</f>
        <v>30958</v>
      </c>
    </row>
  </sheetData>
  <mergeCells count="2">
    <mergeCell ref="A3:G3"/>
    <mergeCell ref="D2:E2"/>
  </mergeCells>
  <conditionalFormatting sqref="F31">
    <cfRule type="cellIs" dxfId="4" priority="1" operator="equal">
      <formula>0</formula>
    </cfRule>
    <cfRule type="cellIs" dxfId="3" priority="2" operator="lessThan">
      <formula>0</formula>
    </cfRule>
    <cfRule type="cellIs" dxfId="2" priority="3" operator="greaterThan">
      <formula>0</formula>
    </cfRule>
  </conditionalFormatting>
  <conditionalFormatting sqref="F32:G32">
    <cfRule type="expression" dxfId="1" priority="4">
      <formula>"F29 = G29"</formula>
    </cfRule>
  </conditionalFormatting>
  <conditionalFormatting sqref="H1:H1048576">
    <cfRule type="cellIs" dxfId="0" priority="6" operator="lessThan">
      <formula>0</formula>
    </cfRule>
  </conditionalFormatting>
  <dataValidations count="1">
    <dataValidation type="date" allowBlank="1" showInputMessage="1" showErrorMessage="1" sqref="B5:B30" xr:uid="{70AC291D-0372-4D8D-A380-2F05E5E9CBD7}">
      <formula1>45658</formula1>
      <formula2>45688</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B19DE121-3CD7-40B5-8425-370C538EF028}">
          <x14:formula1>
            <xm:f>'Chart of Accounts'!$F$2:$F$115</xm:f>
          </x14:formula1>
          <xm:sqref>C5:C30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0112-0583-46D4-B1F1-78CBA563F39E}">
  <dimension ref="A2:G30"/>
  <sheetViews>
    <sheetView workbookViewId="0">
      <selection activeCell="B25" sqref="B25"/>
    </sheetView>
  </sheetViews>
  <sheetFormatPr defaultRowHeight="15" x14ac:dyDescent="0.25"/>
  <cols>
    <col min="1" max="1" width="38.85546875" customWidth="1"/>
    <col min="2" max="2" width="27.140625" customWidth="1"/>
    <col min="3" max="3" width="61.5703125" customWidth="1"/>
    <col min="4" max="4" width="26.5703125" customWidth="1"/>
    <col min="5" max="5" width="15.140625" customWidth="1"/>
    <col min="6" max="7" width="14.85546875" bestFit="1" customWidth="1"/>
    <col min="8" max="51" width="23.140625" bestFit="1" customWidth="1"/>
    <col min="52" max="52" width="17.85546875" bestFit="1" customWidth="1"/>
    <col min="53" max="53" width="18.5703125" bestFit="1" customWidth="1"/>
    <col min="54" max="54" width="19.85546875" bestFit="1" customWidth="1"/>
    <col min="55" max="55" width="28.140625" bestFit="1" customWidth="1"/>
  </cols>
  <sheetData>
    <row r="2" spans="1:7" ht="24" x14ac:dyDescent="0.4">
      <c r="A2" s="20" t="str">
        <f>B4</f>
        <v>Cash</v>
      </c>
      <c r="B2" s="19"/>
      <c r="C2" s="18" t="str">
        <f>VLOOKUP(A2,'Chart of Accounts'!F:G,2,0)</f>
        <v>Current Assets</v>
      </c>
    </row>
    <row r="3" spans="1:7" x14ac:dyDescent="0.25">
      <c r="A3" s="13" t="s">
        <v>1</v>
      </c>
      <c r="B3" s="13" t="s">
        <v>6</v>
      </c>
      <c r="C3" s="13" t="s">
        <v>2</v>
      </c>
      <c r="D3" s="13" t="s">
        <v>0</v>
      </c>
      <c r="E3" t="s">
        <v>50</v>
      </c>
      <c r="F3" t="s">
        <v>51</v>
      </c>
      <c r="G3" t="s">
        <v>52</v>
      </c>
    </row>
    <row r="4" spans="1:7" x14ac:dyDescent="0.25">
      <c r="A4" s="14">
        <v>45658</v>
      </c>
      <c r="B4" t="s">
        <v>7</v>
      </c>
      <c r="C4" t="s">
        <v>5</v>
      </c>
      <c r="D4">
        <v>1</v>
      </c>
      <c r="E4" s="15">
        <v>10000</v>
      </c>
      <c r="F4" s="15"/>
      <c r="G4" s="16">
        <v>10000</v>
      </c>
    </row>
    <row r="5" spans="1:7" x14ac:dyDescent="0.25">
      <c r="A5" s="14">
        <v>45658</v>
      </c>
      <c r="B5" t="s">
        <v>8</v>
      </c>
      <c r="C5" t="s">
        <v>5</v>
      </c>
      <c r="D5">
        <v>1</v>
      </c>
      <c r="E5" s="15"/>
      <c r="F5" s="15">
        <v>10000</v>
      </c>
      <c r="G5" s="16">
        <v>-10000</v>
      </c>
    </row>
    <row r="6" spans="1:7" x14ac:dyDescent="0.25">
      <c r="A6" s="14">
        <v>45660</v>
      </c>
      <c r="B6" t="s">
        <v>27</v>
      </c>
      <c r="C6" t="s">
        <v>10</v>
      </c>
      <c r="D6">
        <v>2</v>
      </c>
      <c r="E6" s="15"/>
      <c r="F6" s="15">
        <v>2500</v>
      </c>
      <c r="G6" s="16">
        <v>-2500</v>
      </c>
    </row>
    <row r="7" spans="1:7" x14ac:dyDescent="0.25">
      <c r="A7" s="14">
        <v>45660</v>
      </c>
      <c r="B7" t="s">
        <v>25</v>
      </c>
      <c r="C7" t="s">
        <v>9</v>
      </c>
      <c r="D7">
        <v>2</v>
      </c>
      <c r="E7" s="15">
        <v>2500</v>
      </c>
      <c r="F7" s="15"/>
      <c r="G7" s="16">
        <v>2500</v>
      </c>
    </row>
    <row r="8" spans="1:7" x14ac:dyDescent="0.25">
      <c r="A8" s="14">
        <v>45662</v>
      </c>
      <c r="B8" t="s">
        <v>26</v>
      </c>
      <c r="C8" t="s">
        <v>14</v>
      </c>
      <c r="D8">
        <v>3</v>
      </c>
      <c r="E8" s="15">
        <v>4000</v>
      </c>
      <c r="F8" s="15"/>
      <c r="G8" s="16">
        <v>4000</v>
      </c>
    </row>
    <row r="9" spans="1:7" x14ac:dyDescent="0.25">
      <c r="A9" s="14">
        <v>45662</v>
      </c>
      <c r="B9" t="s">
        <v>11</v>
      </c>
      <c r="C9" t="s">
        <v>15</v>
      </c>
      <c r="D9">
        <v>3</v>
      </c>
      <c r="E9" s="15"/>
      <c r="F9" s="15">
        <v>4000</v>
      </c>
      <c r="G9" s="16">
        <v>-4000</v>
      </c>
    </row>
    <row r="10" spans="1:7" x14ac:dyDescent="0.25">
      <c r="A10" s="14">
        <v>45665</v>
      </c>
      <c r="B10" t="s">
        <v>7</v>
      </c>
      <c r="C10" t="s">
        <v>13</v>
      </c>
      <c r="D10">
        <v>4</v>
      </c>
      <c r="E10" s="15"/>
      <c r="F10" s="15">
        <v>600</v>
      </c>
      <c r="G10" s="16">
        <v>-600</v>
      </c>
    </row>
    <row r="11" spans="1:7" x14ac:dyDescent="0.25">
      <c r="A11" s="14">
        <v>45665</v>
      </c>
      <c r="B11" t="s">
        <v>12</v>
      </c>
      <c r="C11" t="s">
        <v>13</v>
      </c>
      <c r="D11">
        <v>4</v>
      </c>
      <c r="E11" s="15">
        <v>600</v>
      </c>
      <c r="F11" s="15"/>
      <c r="G11" s="16">
        <v>600</v>
      </c>
    </row>
    <row r="12" spans="1:7" x14ac:dyDescent="0.25">
      <c r="A12" s="14">
        <v>45667</v>
      </c>
      <c r="B12" t="s">
        <v>26</v>
      </c>
      <c r="C12" t="s">
        <v>16</v>
      </c>
      <c r="D12">
        <v>5</v>
      </c>
      <c r="E12" s="15"/>
      <c r="F12" s="15">
        <v>2000</v>
      </c>
      <c r="G12" s="16">
        <v>-2000</v>
      </c>
    </row>
    <row r="13" spans="1:7" x14ac:dyDescent="0.25">
      <c r="A13" s="14">
        <v>45667</v>
      </c>
      <c r="B13" t="s">
        <v>7</v>
      </c>
      <c r="C13" t="s">
        <v>16</v>
      </c>
      <c r="D13">
        <v>5</v>
      </c>
      <c r="E13" s="15">
        <v>2000</v>
      </c>
      <c r="F13" s="15"/>
      <c r="G13" s="16">
        <v>2000</v>
      </c>
    </row>
    <row r="14" spans="1:7" x14ac:dyDescent="0.25">
      <c r="A14" s="14">
        <v>45672</v>
      </c>
      <c r="B14" t="s">
        <v>27</v>
      </c>
      <c r="C14" t="s">
        <v>17</v>
      </c>
      <c r="D14">
        <v>6</v>
      </c>
      <c r="E14" s="15">
        <v>2500</v>
      </c>
      <c r="F14" s="15"/>
      <c r="G14" s="16">
        <v>2500</v>
      </c>
    </row>
    <row r="15" spans="1:7" x14ac:dyDescent="0.25">
      <c r="A15" s="14">
        <v>45672</v>
      </c>
      <c r="B15" t="s">
        <v>7</v>
      </c>
      <c r="C15" t="s">
        <v>17</v>
      </c>
      <c r="D15">
        <v>6</v>
      </c>
      <c r="E15" s="15"/>
      <c r="F15" s="15">
        <v>2500</v>
      </c>
      <c r="G15" s="16">
        <v>-2500</v>
      </c>
    </row>
    <row r="16" spans="1:7" x14ac:dyDescent="0.25">
      <c r="A16" s="14">
        <v>45677</v>
      </c>
      <c r="B16" t="s">
        <v>26</v>
      </c>
      <c r="C16" t="s">
        <v>18</v>
      </c>
      <c r="D16">
        <v>7</v>
      </c>
      <c r="E16" s="15">
        <v>3000</v>
      </c>
      <c r="F16" s="15"/>
      <c r="G16" s="16">
        <v>3000</v>
      </c>
    </row>
    <row r="17" spans="1:7" x14ac:dyDescent="0.25">
      <c r="A17" s="14">
        <v>45677</v>
      </c>
      <c r="B17" t="s">
        <v>11</v>
      </c>
      <c r="C17" t="s">
        <v>18</v>
      </c>
      <c r="D17">
        <v>7</v>
      </c>
      <c r="E17" s="15"/>
      <c r="F17" s="15">
        <v>3000</v>
      </c>
      <c r="G17" s="16">
        <v>-3000</v>
      </c>
    </row>
    <row r="18" spans="1:7" x14ac:dyDescent="0.25">
      <c r="A18" s="14">
        <v>45682</v>
      </c>
      <c r="B18" t="s">
        <v>7</v>
      </c>
      <c r="C18" t="s">
        <v>20</v>
      </c>
      <c r="D18">
        <v>8</v>
      </c>
      <c r="E18" s="15"/>
      <c r="F18" s="15">
        <v>1200</v>
      </c>
      <c r="G18" s="16">
        <v>-1200</v>
      </c>
    </row>
    <row r="19" spans="1:7" x14ac:dyDescent="0.25">
      <c r="A19" s="14">
        <v>45682</v>
      </c>
      <c r="B19" t="s">
        <v>19</v>
      </c>
      <c r="C19" t="s">
        <v>20</v>
      </c>
      <c r="D19">
        <v>8</v>
      </c>
      <c r="E19" s="15">
        <v>1200</v>
      </c>
      <c r="F19" s="15"/>
      <c r="G19" s="16">
        <v>1200</v>
      </c>
    </row>
    <row r="20" spans="1:7" x14ac:dyDescent="0.25">
      <c r="A20" s="14">
        <v>45685</v>
      </c>
      <c r="B20" t="s">
        <v>27</v>
      </c>
      <c r="C20" t="s">
        <v>28</v>
      </c>
      <c r="D20">
        <v>9</v>
      </c>
      <c r="E20" s="15"/>
      <c r="F20" s="15">
        <v>500</v>
      </c>
      <c r="G20" s="16">
        <v>-500</v>
      </c>
    </row>
    <row r="21" spans="1:7" x14ac:dyDescent="0.25">
      <c r="A21" s="14">
        <v>45685</v>
      </c>
      <c r="B21" t="s">
        <v>22</v>
      </c>
      <c r="C21" t="s">
        <v>28</v>
      </c>
      <c r="D21">
        <v>9</v>
      </c>
      <c r="E21" s="15">
        <v>500</v>
      </c>
      <c r="F21" s="15"/>
      <c r="G21" s="16">
        <v>500</v>
      </c>
    </row>
    <row r="22" spans="1:7" x14ac:dyDescent="0.25">
      <c r="A22" s="14">
        <v>45688</v>
      </c>
      <c r="B22" t="s">
        <v>7</v>
      </c>
      <c r="C22" t="s">
        <v>23</v>
      </c>
      <c r="D22">
        <v>10</v>
      </c>
      <c r="E22" s="15"/>
      <c r="F22" s="15">
        <v>3000</v>
      </c>
      <c r="G22" s="16">
        <v>-3000</v>
      </c>
    </row>
    <row r="23" spans="1:7" x14ac:dyDescent="0.25">
      <c r="A23" s="14">
        <v>45688</v>
      </c>
      <c r="B23" t="s">
        <v>33</v>
      </c>
      <c r="C23" t="s">
        <v>55</v>
      </c>
      <c r="D23">
        <v>11</v>
      </c>
      <c r="E23" s="15">
        <v>100</v>
      </c>
      <c r="F23" s="15"/>
      <c r="G23" s="16">
        <v>100</v>
      </c>
    </row>
    <row r="24" spans="1:7" x14ac:dyDescent="0.25">
      <c r="A24" s="14">
        <v>45688</v>
      </c>
      <c r="B24" t="s">
        <v>53</v>
      </c>
      <c r="C24" t="s">
        <v>55</v>
      </c>
      <c r="D24">
        <v>11</v>
      </c>
      <c r="E24" s="15"/>
      <c r="F24" s="15">
        <v>100</v>
      </c>
      <c r="G24" s="16">
        <v>-100</v>
      </c>
    </row>
    <row r="25" spans="1:7" x14ac:dyDescent="0.25">
      <c r="A25" s="14">
        <v>45688</v>
      </c>
      <c r="B25" t="s">
        <v>31</v>
      </c>
      <c r="C25" t="s">
        <v>56</v>
      </c>
      <c r="D25">
        <v>12</v>
      </c>
      <c r="E25" s="15">
        <v>1500</v>
      </c>
      <c r="F25" s="15"/>
      <c r="G25" s="16">
        <v>1500</v>
      </c>
    </row>
    <row r="26" spans="1:7" x14ac:dyDescent="0.25">
      <c r="A26" s="14">
        <v>45688</v>
      </c>
      <c r="B26" t="s">
        <v>31</v>
      </c>
      <c r="C26" t="s">
        <v>23</v>
      </c>
      <c r="D26">
        <v>10</v>
      </c>
      <c r="E26" s="15">
        <v>3000</v>
      </c>
      <c r="F26" s="15"/>
      <c r="G26" s="16">
        <v>3000</v>
      </c>
    </row>
    <row r="27" spans="1:7" x14ac:dyDescent="0.25">
      <c r="A27" s="14">
        <v>45688</v>
      </c>
      <c r="B27" t="s">
        <v>34</v>
      </c>
      <c r="C27" t="s">
        <v>56</v>
      </c>
      <c r="D27">
        <v>12</v>
      </c>
      <c r="E27" s="15"/>
      <c r="F27" s="15">
        <v>1500</v>
      </c>
      <c r="G27" s="16">
        <v>-1500</v>
      </c>
    </row>
    <row r="28" spans="1:7" x14ac:dyDescent="0.25">
      <c r="A28" s="14">
        <v>45688</v>
      </c>
      <c r="B28" t="s">
        <v>67</v>
      </c>
      <c r="C28" t="s">
        <v>69</v>
      </c>
      <c r="D28">
        <v>13</v>
      </c>
      <c r="E28" s="15">
        <v>58</v>
      </c>
      <c r="F28" s="15"/>
      <c r="G28" s="16">
        <v>58</v>
      </c>
    </row>
    <row r="29" spans="1:7" x14ac:dyDescent="0.25">
      <c r="A29" s="14">
        <v>45688</v>
      </c>
      <c r="B29" t="s">
        <v>68</v>
      </c>
      <c r="C29" t="s">
        <v>69</v>
      </c>
      <c r="D29">
        <v>13</v>
      </c>
      <c r="E29" s="15"/>
      <c r="F29" s="15">
        <v>58</v>
      </c>
      <c r="G29" s="16">
        <v>-58</v>
      </c>
    </row>
    <row r="30" spans="1:7" x14ac:dyDescent="0.25">
      <c r="A30" s="14" t="s">
        <v>49</v>
      </c>
      <c r="E30" s="15">
        <v>30958</v>
      </c>
      <c r="F30" s="15">
        <v>30958</v>
      </c>
      <c r="G30" s="16">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D6AA4-5195-4C61-9213-3F7F76D756C8}">
  <dimension ref="A2:G19"/>
  <sheetViews>
    <sheetView workbookViewId="0">
      <selection activeCell="C11" sqref="C11"/>
    </sheetView>
  </sheetViews>
  <sheetFormatPr defaultRowHeight="15" x14ac:dyDescent="0.25"/>
  <cols>
    <col min="1" max="1" width="38.85546875" customWidth="1"/>
    <col min="2" max="2" width="24.140625" customWidth="1"/>
    <col min="3" max="3" width="35.7109375" customWidth="1"/>
    <col min="4" max="4" width="15.42578125" customWidth="1"/>
    <col min="5" max="5" width="15.140625" customWidth="1"/>
    <col min="6" max="6" width="35.7109375" hidden="1" customWidth="1"/>
    <col min="7" max="7" width="27.140625" hidden="1" customWidth="1"/>
    <col min="8" max="51" width="23.140625" bestFit="1" customWidth="1"/>
    <col min="52" max="52" width="17.85546875" bestFit="1" customWidth="1"/>
    <col min="53" max="53" width="18.5703125" bestFit="1" customWidth="1"/>
    <col min="54" max="54" width="19.85546875" bestFit="1" customWidth="1"/>
    <col min="55" max="55" width="28.140625" bestFit="1" customWidth="1"/>
  </cols>
  <sheetData>
    <row r="2" spans="1:7" ht="24" x14ac:dyDescent="0.4">
      <c r="A2" s="20" t="s">
        <v>57</v>
      </c>
      <c r="B2" s="19"/>
      <c r="C2" s="18"/>
    </row>
    <row r="3" spans="1:7" x14ac:dyDescent="0.25">
      <c r="A3" s="13" t="s">
        <v>6</v>
      </c>
      <c r="B3" t="s">
        <v>50</v>
      </c>
      <c r="C3" t="s">
        <v>51</v>
      </c>
      <c r="D3" t="s">
        <v>52</v>
      </c>
    </row>
    <row r="4" spans="1:7" x14ac:dyDescent="0.25">
      <c r="A4" t="s">
        <v>27</v>
      </c>
      <c r="B4" s="15">
        <v>2500</v>
      </c>
      <c r="C4" s="15">
        <v>3000</v>
      </c>
      <c r="D4" s="16">
        <v>-500</v>
      </c>
      <c r="F4" t="str">
        <f>VLOOKUP($A4,'Chart of Accounts'!F:G,2,0)</f>
        <v>Current Liabilities</v>
      </c>
      <c r="G4" t="e">
        <f>VLOOKUP(F4,'Chart of Accounts'!$C:$E,3,0)</f>
        <v>#N/A</v>
      </c>
    </row>
    <row r="5" spans="1:7" x14ac:dyDescent="0.25">
      <c r="A5" t="s">
        <v>26</v>
      </c>
      <c r="B5" s="15">
        <v>7000</v>
      </c>
      <c r="C5" s="15">
        <v>2000</v>
      </c>
      <c r="D5" s="16">
        <v>5000</v>
      </c>
      <c r="F5" t="str">
        <f>VLOOKUP($A5,'Chart of Accounts'!F:G,2,0)</f>
        <v>Current Assets</v>
      </c>
      <c r="G5" t="e">
        <f>VLOOKUP(F5,'Chart of Accounts'!$C:$E,3,0)</f>
        <v>#N/A</v>
      </c>
    </row>
    <row r="6" spans="1:7" x14ac:dyDescent="0.25">
      <c r="A6" t="s">
        <v>7</v>
      </c>
      <c r="B6" s="15">
        <v>12000</v>
      </c>
      <c r="C6" s="15">
        <v>7300</v>
      </c>
      <c r="D6" s="16">
        <v>4700</v>
      </c>
      <c r="F6" t="str">
        <f>VLOOKUP($A6,'Chart of Accounts'!F:G,2,0)</f>
        <v>Current Assets</v>
      </c>
      <c r="G6" t="e">
        <f>VLOOKUP(F6,'Chart of Accounts'!$C:$E,3,0)</f>
        <v>#N/A</v>
      </c>
    </row>
    <row r="7" spans="1:7" x14ac:dyDescent="0.25">
      <c r="A7" t="s">
        <v>25</v>
      </c>
      <c r="B7" s="15">
        <v>2500</v>
      </c>
      <c r="C7" s="15"/>
      <c r="D7" s="16">
        <v>2500</v>
      </c>
      <c r="F7" t="str">
        <f>VLOOKUP($A7,'Chart of Accounts'!F:G,2,0)</f>
        <v>Fixed Assets</v>
      </c>
      <c r="G7" t="e">
        <f>VLOOKUP(F7,'Chart of Accounts'!$C:$E,3,0)</f>
        <v>#N/A</v>
      </c>
    </row>
    <row r="8" spans="1:7" x14ac:dyDescent="0.25">
      <c r="A8" t="s">
        <v>12</v>
      </c>
      <c r="B8" s="15">
        <v>600</v>
      </c>
      <c r="C8" s="15"/>
      <c r="D8" s="16">
        <v>600</v>
      </c>
      <c r="F8" t="str">
        <f>VLOOKUP($A8,'Chart of Accounts'!F:G,2,0)</f>
        <v>Current Assets</v>
      </c>
      <c r="G8" t="e">
        <f>VLOOKUP(F8,'Chart of Accounts'!$C:$E,3,0)</f>
        <v>#N/A</v>
      </c>
    </row>
    <row r="9" spans="1:7" x14ac:dyDescent="0.25">
      <c r="A9" t="s">
        <v>8</v>
      </c>
      <c r="B9" s="15"/>
      <c r="C9" s="15">
        <v>10000</v>
      </c>
      <c r="D9" s="16">
        <v>-10000</v>
      </c>
      <c r="F9" t="str">
        <f>VLOOKUP($A9,'Chart of Accounts'!F:G,2,0)</f>
        <v>Equity</v>
      </c>
      <c r="G9" t="str">
        <f>VLOOKUP(F9,'Chart of Accounts'!$C:$E,3,0)</f>
        <v>Income Statement</v>
      </c>
    </row>
    <row r="10" spans="1:7" x14ac:dyDescent="0.25">
      <c r="A10" t="s">
        <v>19</v>
      </c>
      <c r="B10" s="15">
        <v>1200</v>
      </c>
      <c r="C10" s="15"/>
      <c r="D10" s="16">
        <v>1200</v>
      </c>
      <c r="F10" s="26" t="str">
        <f>VLOOKUP($A10,'Chart of Accounts'!F:G,2,0)</f>
        <v>Expenses</v>
      </c>
      <c r="G10" t="str">
        <f>VLOOKUP(F10,'Chart of Accounts'!$C:$E,3,0)</f>
        <v>Income Statement</v>
      </c>
    </row>
    <row r="11" spans="1:7" x14ac:dyDescent="0.25">
      <c r="A11" t="s">
        <v>11</v>
      </c>
      <c r="B11" s="15"/>
      <c r="C11" s="15">
        <v>7000</v>
      </c>
      <c r="D11" s="16">
        <v>-7000</v>
      </c>
      <c r="F11" t="str">
        <f>VLOOKUP($A11,'Chart of Accounts'!F:G,2,0)</f>
        <v>Current Assets</v>
      </c>
      <c r="G11" t="e">
        <f>VLOOKUP(F11,'Chart of Accounts'!$C:$E,3,0)</f>
        <v>#N/A</v>
      </c>
    </row>
    <row r="12" spans="1:7" x14ac:dyDescent="0.25">
      <c r="A12" t="s">
        <v>22</v>
      </c>
      <c r="B12" s="15">
        <v>500</v>
      </c>
      <c r="C12" s="15"/>
      <c r="D12" s="16">
        <v>500</v>
      </c>
      <c r="F12" s="26" t="str">
        <f>VLOOKUP($A12,'Chart of Accounts'!F:G,2,0)</f>
        <v>Expenses</v>
      </c>
      <c r="G12" t="str">
        <f>VLOOKUP(F12,'Chart of Accounts'!$C:$E,3,0)</f>
        <v>Income Statement</v>
      </c>
    </row>
    <row r="13" spans="1:7" x14ac:dyDescent="0.25">
      <c r="A13" t="s">
        <v>33</v>
      </c>
      <c r="B13" s="15">
        <v>100</v>
      </c>
      <c r="C13" s="15"/>
      <c r="D13" s="16">
        <v>100</v>
      </c>
      <c r="F13" s="26" t="str">
        <f>VLOOKUP($A13,'Chart of Accounts'!F:G,2,0)</f>
        <v>Expenses</v>
      </c>
      <c r="G13" t="str">
        <f>VLOOKUP(F13,'Chart of Accounts'!$C:$E,3,0)</f>
        <v>Income Statement</v>
      </c>
    </row>
    <row r="14" spans="1:7" x14ac:dyDescent="0.25">
      <c r="A14" t="s">
        <v>53</v>
      </c>
      <c r="B14" s="15"/>
      <c r="C14" s="15">
        <v>100</v>
      </c>
      <c r="D14" s="16">
        <v>-100</v>
      </c>
      <c r="F14" t="str">
        <f>VLOOKUP($A14,'Chart of Accounts'!F:G,2,0)</f>
        <v>Contra Assets</v>
      </c>
      <c r="G14" t="e">
        <f>VLOOKUP(F14,'Chart of Accounts'!$C:$E,3,0)</f>
        <v>#N/A</v>
      </c>
    </row>
    <row r="15" spans="1:7" x14ac:dyDescent="0.25">
      <c r="A15" t="s">
        <v>31</v>
      </c>
      <c r="B15" s="15">
        <v>4500</v>
      </c>
      <c r="C15" s="15"/>
      <c r="D15" s="16">
        <v>4500</v>
      </c>
      <c r="F15" s="26" t="str">
        <f>VLOOKUP($A15,'Chart of Accounts'!F:G,2,0)</f>
        <v>Expenses</v>
      </c>
      <c r="G15" t="str">
        <f>VLOOKUP(F15,'Chart of Accounts'!$C:$E,3,0)</f>
        <v>Income Statement</v>
      </c>
    </row>
    <row r="16" spans="1:7" x14ac:dyDescent="0.25">
      <c r="A16" t="s">
        <v>34</v>
      </c>
      <c r="B16" s="15"/>
      <c r="C16" s="15">
        <v>1500</v>
      </c>
      <c r="D16" s="16">
        <v>-1500</v>
      </c>
      <c r="F16" t="str">
        <f>VLOOKUP($A16,'Chart of Accounts'!F:G,2,0)</f>
        <v>Current Liabilities</v>
      </c>
      <c r="G16" t="e">
        <f>VLOOKUP(F16,'Chart of Accounts'!$C:$E,3,0)</f>
        <v>#N/A</v>
      </c>
    </row>
    <row r="17" spans="1:4" x14ac:dyDescent="0.25">
      <c r="A17" t="s">
        <v>67</v>
      </c>
      <c r="B17" s="15">
        <v>58</v>
      </c>
      <c r="C17" s="15"/>
      <c r="D17" s="16">
        <v>58</v>
      </c>
    </row>
    <row r="18" spans="1:4" x14ac:dyDescent="0.25">
      <c r="A18" t="s">
        <v>68</v>
      </c>
      <c r="B18" s="15"/>
      <c r="C18" s="15">
        <v>58</v>
      </c>
      <c r="D18" s="16">
        <v>-58</v>
      </c>
    </row>
    <row r="19" spans="1:4" x14ac:dyDescent="0.25">
      <c r="A19" t="s">
        <v>49</v>
      </c>
      <c r="B19" s="15">
        <v>30958</v>
      </c>
      <c r="C19" s="15">
        <v>30958</v>
      </c>
      <c r="D19" s="16">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91891-9BBF-4C2B-B04D-692B5F6F87FE}">
  <dimension ref="B1:I20"/>
  <sheetViews>
    <sheetView workbookViewId="0">
      <selection activeCell="H18" sqref="H18"/>
    </sheetView>
  </sheetViews>
  <sheetFormatPr defaultRowHeight="15" x14ac:dyDescent="0.25"/>
  <cols>
    <col min="1" max="1" width="10.28515625" customWidth="1"/>
    <col min="2" max="2" width="18.5703125" customWidth="1"/>
    <col min="7" max="7" width="18.140625" style="25" customWidth="1"/>
    <col min="8" max="8" width="18.5703125" style="25" customWidth="1"/>
    <col min="9" max="9" width="0.140625" customWidth="1"/>
  </cols>
  <sheetData>
    <row r="1" spans="2:9" ht="15.75" thickBot="1" x14ac:dyDescent="0.3"/>
    <row r="2" spans="2:9" ht="21" x14ac:dyDescent="0.35">
      <c r="B2" s="76" t="s">
        <v>32</v>
      </c>
      <c r="C2" s="77"/>
      <c r="D2" s="77"/>
      <c r="E2" s="77"/>
      <c r="F2" s="77"/>
      <c r="G2" s="77"/>
      <c r="H2" s="77"/>
      <c r="I2" s="78"/>
    </row>
    <row r="3" spans="2:9" ht="21" x14ac:dyDescent="0.35">
      <c r="B3" s="79" t="s">
        <v>58</v>
      </c>
      <c r="C3" s="96"/>
      <c r="D3" s="96"/>
      <c r="E3" s="96"/>
      <c r="F3" s="96"/>
      <c r="G3" s="96"/>
      <c r="H3" s="96"/>
      <c r="I3" s="80"/>
    </row>
    <row r="4" spans="2:9" ht="21" x14ac:dyDescent="0.35">
      <c r="B4" s="79" t="s">
        <v>59</v>
      </c>
      <c r="C4" s="96"/>
      <c r="D4" s="96"/>
      <c r="E4" s="96"/>
      <c r="F4" s="96"/>
      <c r="G4" s="96"/>
      <c r="H4" s="96"/>
      <c r="I4" s="80"/>
    </row>
    <row r="5" spans="2:9" ht="18.75" x14ac:dyDescent="0.3">
      <c r="B5" s="81" t="s">
        <v>35</v>
      </c>
      <c r="C5" s="82"/>
      <c r="D5" s="82"/>
      <c r="E5" s="82"/>
      <c r="F5" s="82"/>
      <c r="G5" s="82"/>
      <c r="H5" s="82"/>
      <c r="I5" s="83"/>
    </row>
    <row r="6" spans="2:9" ht="15.75" x14ac:dyDescent="0.25">
      <c r="B6" s="29" t="s">
        <v>11</v>
      </c>
      <c r="C6" s="84"/>
      <c r="D6" s="84"/>
      <c r="E6" s="84"/>
      <c r="F6" s="84"/>
      <c r="G6" s="30">
        <f>_xlfn.XLOOKUP(B6,'Trial Balance'!$A$4:$A$18,'Trial Balance'!$D$4:$D$18,"N/A",0,1)*-1</f>
        <v>7000</v>
      </c>
      <c r="H6" s="31"/>
      <c r="I6" s="32"/>
    </row>
    <row r="7" spans="2:9" ht="18.75" x14ac:dyDescent="0.3">
      <c r="B7" s="36" t="s">
        <v>61</v>
      </c>
      <c r="C7" s="97"/>
      <c r="D7" s="97"/>
      <c r="E7" s="97"/>
      <c r="F7" s="97"/>
      <c r="G7" s="28"/>
      <c r="H7" s="27">
        <f>G6</f>
        <v>7000</v>
      </c>
      <c r="I7" s="33"/>
    </row>
    <row r="8" spans="2:9" x14ac:dyDescent="0.25">
      <c r="B8" s="70"/>
      <c r="C8" s="71"/>
      <c r="D8" s="71"/>
      <c r="E8" s="71"/>
      <c r="F8" s="71"/>
      <c r="G8" s="71"/>
      <c r="H8" s="71"/>
      <c r="I8" s="72"/>
    </row>
    <row r="9" spans="2:9" ht="18.75" x14ac:dyDescent="0.3">
      <c r="B9" s="73" t="s">
        <v>62</v>
      </c>
      <c r="C9" s="74"/>
      <c r="D9" s="74"/>
      <c r="E9" s="74"/>
      <c r="F9" s="74"/>
      <c r="G9" s="74"/>
      <c r="H9" s="74"/>
      <c r="I9" s="75"/>
    </row>
    <row r="10" spans="2:9" ht="15.75" x14ac:dyDescent="0.25">
      <c r="B10" s="34"/>
      <c r="C10" s="93"/>
      <c r="D10" s="93"/>
      <c r="E10" s="93"/>
      <c r="F10" s="93"/>
      <c r="G10" s="30"/>
      <c r="H10" s="31"/>
      <c r="I10" s="32"/>
    </row>
    <row r="11" spans="2:9" ht="15.75" x14ac:dyDescent="0.25">
      <c r="B11" s="34" t="s">
        <v>19</v>
      </c>
      <c r="C11" s="93"/>
      <c r="D11" s="93"/>
      <c r="E11" s="93"/>
      <c r="F11" s="93"/>
      <c r="G11" s="30">
        <f>_xlfn.XLOOKUP(B11,'Trial Balance'!$A$4:$A$18,'Trial Balance'!$D$4:$D$18,"N/A",0,1)*-1</f>
        <v>-1200</v>
      </c>
      <c r="H11" s="31"/>
      <c r="I11" s="32"/>
    </row>
    <row r="12" spans="2:9" ht="15.75" x14ac:dyDescent="0.25">
      <c r="B12" s="34" t="s">
        <v>33</v>
      </c>
      <c r="C12" s="93"/>
      <c r="D12" s="93"/>
      <c r="E12" s="93"/>
      <c r="F12" s="93"/>
      <c r="G12" s="30">
        <f>_xlfn.XLOOKUP(B12,'Trial Balance'!$A$4:$A$18,'Trial Balance'!$D$4:$D$18,"N/A",0,1)*-1</f>
        <v>-100</v>
      </c>
      <c r="H12" s="31"/>
      <c r="I12" s="32"/>
    </row>
    <row r="13" spans="2:9" ht="15.75" x14ac:dyDescent="0.25">
      <c r="B13" s="34" t="s">
        <v>22</v>
      </c>
      <c r="C13" s="93"/>
      <c r="D13" s="93"/>
      <c r="E13" s="93"/>
      <c r="F13" s="93"/>
      <c r="G13" s="30">
        <f>_xlfn.XLOOKUP(B13,'Trial Balance'!$A$4:$A$18,'Trial Balance'!$D$4:$D$18,"N/A",0,1)*-1</f>
        <v>-500</v>
      </c>
      <c r="H13" s="31"/>
      <c r="I13" s="32"/>
    </row>
    <row r="14" spans="2:9" ht="15.75" x14ac:dyDescent="0.25">
      <c r="B14" s="34" t="s">
        <v>31</v>
      </c>
      <c r="C14" s="93"/>
      <c r="D14" s="93"/>
      <c r="E14" s="93"/>
      <c r="F14" s="93"/>
      <c r="G14" s="30">
        <f>_xlfn.XLOOKUP(B14,'Trial Balance'!$A$4:$A$18,'Trial Balance'!$D$4:$D$18,"N/A",0,1)*-1</f>
        <v>-4500</v>
      </c>
      <c r="H14" s="31"/>
      <c r="I14" s="32"/>
    </row>
    <row r="15" spans="2:9" ht="15.75" x14ac:dyDescent="0.25">
      <c r="B15" s="35" t="s">
        <v>63</v>
      </c>
      <c r="C15" s="93"/>
      <c r="D15" s="93"/>
      <c r="E15" s="93"/>
      <c r="F15" s="93"/>
      <c r="G15" s="30"/>
      <c r="H15" s="30">
        <f>SUM(G11:G14)</f>
        <v>-6300</v>
      </c>
      <c r="I15" s="32"/>
    </row>
    <row r="16" spans="2:9" ht="18.75" x14ac:dyDescent="0.3">
      <c r="B16" s="36" t="s">
        <v>64</v>
      </c>
      <c r="C16" s="97"/>
      <c r="D16" s="97"/>
      <c r="E16" s="97"/>
      <c r="F16" s="97"/>
      <c r="G16" s="27"/>
      <c r="H16" s="28">
        <f>H7+H15</f>
        <v>700</v>
      </c>
      <c r="I16" s="37"/>
    </row>
    <row r="17" spans="2:9" x14ac:dyDescent="0.25">
      <c r="B17" s="98" t="s">
        <v>66</v>
      </c>
      <c r="C17" s="93"/>
      <c r="D17" s="93"/>
      <c r="E17" s="93"/>
      <c r="F17" s="93"/>
      <c r="G17" s="31"/>
      <c r="H17" s="44">
        <f>H16*-8.25%</f>
        <v>-57.75</v>
      </c>
      <c r="I17" s="32"/>
    </row>
    <row r="18" spans="2:9" x14ac:dyDescent="0.25">
      <c r="B18" s="38" t="s">
        <v>65</v>
      </c>
      <c r="C18" s="93"/>
      <c r="D18" s="93"/>
      <c r="E18" s="93"/>
      <c r="F18" s="93"/>
      <c r="G18" s="31"/>
      <c r="H18" s="95">
        <f>SUM(H16:H17)</f>
        <v>642.25</v>
      </c>
      <c r="I18" s="32"/>
    </row>
    <row r="19" spans="2:9" x14ac:dyDescent="0.25">
      <c r="B19" s="34"/>
      <c r="C19" s="93"/>
      <c r="D19" s="93"/>
      <c r="E19" s="93"/>
      <c r="F19" s="93"/>
      <c r="G19" s="31"/>
      <c r="H19" s="31"/>
      <c r="I19" s="32"/>
    </row>
    <row r="20" spans="2:9" ht="15.75" thickBot="1" x14ac:dyDescent="0.3">
      <c r="B20" s="39"/>
      <c r="C20" s="40"/>
      <c r="D20" s="40"/>
      <c r="E20" s="40"/>
      <c r="F20" s="40"/>
      <c r="G20" s="41"/>
      <c r="H20" s="41"/>
      <c r="I20" s="42"/>
    </row>
  </sheetData>
  <mergeCells count="7">
    <mergeCell ref="B8:I8"/>
    <mergeCell ref="B9:I9"/>
    <mergeCell ref="B2:I2"/>
    <mergeCell ref="B3:I3"/>
    <mergeCell ref="B4:I4"/>
    <mergeCell ref="B5:I5"/>
    <mergeCell ref="C6:F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4CEBA-5116-42A9-B0DD-FB13F4D44A3C}">
  <dimension ref="A1:H11"/>
  <sheetViews>
    <sheetView tabSelected="1" workbookViewId="0">
      <selection activeCell="J23" sqref="J23"/>
    </sheetView>
  </sheetViews>
  <sheetFormatPr defaultRowHeight="15" x14ac:dyDescent="0.25"/>
  <cols>
    <col min="2" max="2" width="24.85546875" customWidth="1"/>
    <col min="3" max="3" width="15.85546875" customWidth="1"/>
  </cols>
  <sheetData>
    <row r="1" spans="1:8" ht="18.75" x14ac:dyDescent="0.3">
      <c r="A1" s="99" t="s">
        <v>32</v>
      </c>
      <c r="B1" s="100"/>
      <c r="C1" s="100"/>
      <c r="D1" s="100"/>
      <c r="E1" s="100"/>
      <c r="F1" s="100"/>
      <c r="G1" s="100"/>
      <c r="H1" s="101"/>
    </row>
    <row r="2" spans="1:8" ht="18.75" x14ac:dyDescent="0.3">
      <c r="A2" s="102" t="s">
        <v>91</v>
      </c>
      <c r="B2" s="103"/>
      <c r="C2" s="103"/>
      <c r="D2" s="103"/>
      <c r="E2" s="103"/>
      <c r="F2" s="103"/>
      <c r="G2" s="103"/>
      <c r="H2" s="104"/>
    </row>
    <row r="3" spans="1:8" ht="19.5" thickBot="1" x14ac:dyDescent="0.35">
      <c r="A3" s="105" t="s">
        <v>92</v>
      </c>
      <c r="B3" s="106"/>
      <c r="C3" s="106"/>
      <c r="D3" s="106"/>
      <c r="E3" s="106"/>
      <c r="F3" s="106"/>
      <c r="G3" s="106"/>
      <c r="H3" s="107"/>
    </row>
    <row r="4" spans="1:8" ht="15.75" x14ac:dyDescent="0.25">
      <c r="A4" s="108" t="s">
        <v>93</v>
      </c>
      <c r="B4" s="108"/>
      <c r="C4" s="108"/>
      <c r="D4" s="108"/>
    </row>
    <row r="5" spans="1:8" x14ac:dyDescent="0.25">
      <c r="A5" s="94" t="s">
        <v>94</v>
      </c>
      <c r="C5" s="25"/>
    </row>
    <row r="6" spans="1:8" x14ac:dyDescent="0.25">
      <c r="A6" s="109" t="s">
        <v>95</v>
      </c>
      <c r="C6" s="25">
        <v>10000</v>
      </c>
    </row>
    <row r="7" spans="1:8" x14ac:dyDescent="0.25">
      <c r="A7" s="109" t="s">
        <v>65</v>
      </c>
      <c r="C7" s="25">
        <f>_xlfn.XLOOKUP(A7,'Income Statement'!B18,'Income Statement'!H18,"N/A",0,1)</f>
        <v>642.25</v>
      </c>
    </row>
    <row r="8" spans="1:8" x14ac:dyDescent="0.25">
      <c r="A8" s="109" t="s">
        <v>96</v>
      </c>
      <c r="C8" s="113">
        <f>SUM(C6:C7)</f>
        <v>10642.25</v>
      </c>
    </row>
    <row r="9" spans="1:8" x14ac:dyDescent="0.25">
      <c r="A9" s="111" t="s">
        <v>97</v>
      </c>
      <c r="C9" s="25"/>
    </row>
    <row r="10" spans="1:8" x14ac:dyDescent="0.25">
      <c r="A10" s="109" t="s">
        <v>98</v>
      </c>
      <c r="C10" s="110">
        <v>0</v>
      </c>
    </row>
    <row r="11" spans="1:8" x14ac:dyDescent="0.25">
      <c r="A11" s="111" t="s">
        <v>99</v>
      </c>
      <c r="C11" s="112">
        <f>C8-C10</f>
        <v>10642.25</v>
      </c>
    </row>
  </sheetData>
  <mergeCells count="3">
    <mergeCell ref="A1:H1"/>
    <mergeCell ref="A2:H2"/>
    <mergeCell ref="A3: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56322-F298-4F92-A1D9-1D9E2930A59B}">
  <dimension ref="A1:G37"/>
  <sheetViews>
    <sheetView topLeftCell="A8" workbookViewId="0">
      <selection activeCell="I29" sqref="I29"/>
    </sheetView>
  </sheetViews>
  <sheetFormatPr defaultRowHeight="15" x14ac:dyDescent="0.25"/>
  <cols>
    <col min="1" max="1" width="66.28515625" customWidth="1"/>
    <col min="2" max="2" width="29.85546875" style="25" customWidth="1"/>
    <col min="3" max="3" width="18.140625" customWidth="1"/>
  </cols>
  <sheetData>
    <row r="1" spans="1:7" ht="18.75" x14ac:dyDescent="0.3">
      <c r="A1" s="87" t="s">
        <v>38</v>
      </c>
      <c r="B1" s="88"/>
      <c r="C1" s="88"/>
      <c r="D1" s="88"/>
      <c r="E1" s="88"/>
      <c r="F1" s="88"/>
      <c r="G1" s="89"/>
    </row>
    <row r="2" spans="1:7" ht="19.5" thickBot="1" x14ac:dyDescent="0.35">
      <c r="A2" s="90" t="s">
        <v>70</v>
      </c>
      <c r="B2" s="91"/>
      <c r="C2" s="91"/>
      <c r="D2" s="91"/>
      <c r="E2" s="91"/>
      <c r="F2" s="91"/>
      <c r="G2" s="92"/>
    </row>
    <row r="3" spans="1:7" ht="18.75" x14ac:dyDescent="0.3">
      <c r="A3" s="45" t="s">
        <v>39</v>
      </c>
      <c r="B3" s="46" t="s">
        <v>21</v>
      </c>
      <c r="C3" s="47"/>
      <c r="D3" s="48"/>
      <c r="E3" s="48"/>
      <c r="F3" s="48"/>
      <c r="G3" s="48"/>
    </row>
    <row r="4" spans="1:7" ht="18.75" x14ac:dyDescent="0.3">
      <c r="A4" s="86" t="s">
        <v>40</v>
      </c>
      <c r="B4" s="86"/>
      <c r="C4" s="86"/>
      <c r="D4" s="86"/>
      <c r="E4" s="86"/>
      <c r="F4" s="86"/>
      <c r="G4" s="86"/>
    </row>
    <row r="5" spans="1:7" x14ac:dyDescent="0.25">
      <c r="A5" s="2" t="s">
        <v>7</v>
      </c>
      <c r="B5" s="49" cm="1">
        <f t="array" ref="B5">_xlfn.XLOOKUP($A5,'Trial Balance'!$A:A,'Trial Balance'!D:D,"N/A",0,1)</f>
        <v>4700</v>
      </c>
      <c r="C5" s="50"/>
      <c r="D5" s="50"/>
      <c r="E5" s="50"/>
      <c r="F5" s="50"/>
      <c r="G5" s="50"/>
    </row>
    <row r="6" spans="1:7" x14ac:dyDescent="0.25">
      <c r="A6" s="2" t="s">
        <v>26</v>
      </c>
      <c r="B6" s="49" cm="1">
        <f t="array" ref="B6">_xlfn.XLOOKUP($A6,'Trial Balance'!$A:A,'Trial Balance'!D:D,"N/A",0,1)</f>
        <v>5000</v>
      </c>
      <c r="C6" s="50"/>
      <c r="D6" s="50"/>
      <c r="E6" s="50"/>
      <c r="F6" s="50"/>
      <c r="G6" s="50"/>
    </row>
    <row r="7" spans="1:7" x14ac:dyDescent="0.25">
      <c r="A7" s="2" t="s">
        <v>12</v>
      </c>
      <c r="B7" s="49" cm="1">
        <f t="array" ref="B7">_xlfn.XLOOKUP($A7,'Trial Balance'!$A:A,'Trial Balance'!D:D,"N/A",0,1)</f>
        <v>600</v>
      </c>
      <c r="C7" s="50"/>
      <c r="D7" s="50"/>
      <c r="E7" s="50"/>
      <c r="F7" s="50"/>
      <c r="G7" s="50"/>
    </row>
    <row r="8" spans="1:7" ht="20.25" x14ac:dyDescent="0.4">
      <c r="A8" s="51" t="s">
        <v>71</v>
      </c>
      <c r="B8" s="52">
        <f>SUM(B5:B7)</f>
        <v>10300</v>
      </c>
      <c r="C8" s="53"/>
      <c r="D8" s="53"/>
      <c r="E8" s="53"/>
      <c r="F8" s="53"/>
      <c r="G8" s="53"/>
    </row>
    <row r="9" spans="1:7" ht="18.75" x14ac:dyDescent="0.3">
      <c r="A9" s="85" t="s">
        <v>72</v>
      </c>
      <c r="B9" s="85"/>
      <c r="C9" s="85"/>
      <c r="D9" s="85"/>
      <c r="E9" s="85"/>
      <c r="F9" s="85"/>
      <c r="G9" s="85"/>
    </row>
    <row r="10" spans="1:7" x14ac:dyDescent="0.25">
      <c r="A10" s="2" t="s">
        <v>53</v>
      </c>
      <c r="B10" s="49" cm="1">
        <f t="array" ref="B10">_xlfn.XLOOKUP($A10,'Trial Balance'!$A:A,'Trial Balance'!D:D,"N/A",0,1)</f>
        <v>-100</v>
      </c>
      <c r="C10" s="50"/>
      <c r="D10" s="50"/>
      <c r="E10" s="50"/>
      <c r="F10" s="50"/>
      <c r="G10" s="50"/>
    </row>
    <row r="11" spans="1:7" x14ac:dyDescent="0.25">
      <c r="A11" s="2"/>
      <c r="B11" s="49">
        <f>IFERROR(VLOOKUP($A11,'Trial Balance'!$A$4:$D$18,4,0), 0)</f>
        <v>0</v>
      </c>
      <c r="C11" s="50"/>
      <c r="D11" s="50"/>
      <c r="E11" s="50"/>
      <c r="F11" s="50"/>
      <c r="G11" s="50"/>
    </row>
    <row r="12" spans="1:7" ht="18.75" x14ac:dyDescent="0.3">
      <c r="A12" s="51" t="s">
        <v>74</v>
      </c>
      <c r="B12" s="66">
        <f>SUM(B10)</f>
        <v>-100</v>
      </c>
      <c r="C12" s="54"/>
      <c r="D12" s="54"/>
      <c r="E12" s="54"/>
      <c r="F12" s="54"/>
      <c r="G12" s="54"/>
    </row>
    <row r="13" spans="1:7" ht="18.75" x14ac:dyDescent="0.3">
      <c r="A13" s="55" t="s">
        <v>75</v>
      </c>
      <c r="B13" s="56"/>
      <c r="C13" s="57"/>
      <c r="D13" s="57"/>
      <c r="E13" s="57"/>
      <c r="F13" s="57"/>
      <c r="G13" s="57"/>
    </row>
    <row r="14" spans="1:7" x14ac:dyDescent="0.25">
      <c r="A14" s="2" t="s">
        <v>25</v>
      </c>
      <c r="B14" s="49" cm="1">
        <f t="array" ref="B14">_xlfn.XLOOKUP($A14,'Trial Balance'!$A:A,'Trial Balance'!D:D,"N/A",0,1)</f>
        <v>2500</v>
      </c>
      <c r="C14" s="50"/>
      <c r="D14" s="50"/>
      <c r="E14" s="50"/>
      <c r="F14" s="50"/>
      <c r="G14" s="50"/>
    </row>
    <row r="15" spans="1:7" x14ac:dyDescent="0.25">
      <c r="A15" s="2"/>
      <c r="B15" s="49" cm="1">
        <f t="array" ref="B15">_xlfn.XLOOKUP($A15,'Trial Balance'!$A:A,'Trial Balance'!D:D,"N/A",0,1)</f>
        <v>0</v>
      </c>
      <c r="C15" s="50"/>
      <c r="D15" s="50"/>
      <c r="E15" s="50"/>
      <c r="F15" s="50"/>
      <c r="G15" s="50"/>
    </row>
    <row r="16" spans="1:7" ht="18.75" x14ac:dyDescent="0.3">
      <c r="A16" s="51" t="s">
        <v>76</v>
      </c>
      <c r="B16" s="66">
        <f>SUM(B14)</f>
        <v>2500</v>
      </c>
      <c r="C16" s="54"/>
      <c r="D16" s="54"/>
      <c r="E16" s="54"/>
      <c r="F16" s="54"/>
      <c r="G16" s="54"/>
    </row>
    <row r="17" spans="1:7" ht="20.25" x14ac:dyDescent="0.4">
      <c r="A17" s="51" t="s">
        <v>77</v>
      </c>
      <c r="B17" s="52">
        <f>SUM(B8+B12+B16)</f>
        <v>12700</v>
      </c>
      <c r="C17" s="53"/>
      <c r="D17" s="53"/>
      <c r="E17" s="53"/>
      <c r="F17" s="53"/>
      <c r="G17" s="53"/>
    </row>
    <row r="18" spans="1:7" ht="18.75" x14ac:dyDescent="0.3">
      <c r="A18" s="58" t="s">
        <v>78</v>
      </c>
      <c r="B18" s="59" t="s">
        <v>21</v>
      </c>
      <c r="C18" s="60"/>
      <c r="D18" s="50"/>
      <c r="E18" s="50"/>
      <c r="F18" s="50"/>
      <c r="G18" s="50"/>
    </row>
    <row r="19" spans="1:7" ht="18.75" x14ac:dyDescent="0.3">
      <c r="A19" s="86" t="s">
        <v>79</v>
      </c>
      <c r="B19" s="86"/>
      <c r="C19" s="86"/>
      <c r="D19" s="86"/>
      <c r="E19" s="86"/>
      <c r="F19" s="86"/>
      <c r="G19" s="86"/>
    </row>
    <row r="20" spans="1:7" x14ac:dyDescent="0.25">
      <c r="A20" s="2" t="s">
        <v>34</v>
      </c>
      <c r="B20" s="49" cm="1">
        <f t="array" ref="B20">_xlfn.XLOOKUP($A20,'Trial Balance'!$A:A,'Trial Balance'!D:D,"N/A",0,1)*-1</f>
        <v>1500</v>
      </c>
      <c r="C20" s="50"/>
      <c r="D20" s="50"/>
      <c r="E20" s="50"/>
      <c r="F20" s="50"/>
      <c r="G20" s="50"/>
    </row>
    <row r="21" spans="1:7" x14ac:dyDescent="0.25">
      <c r="A21" s="2" t="s">
        <v>27</v>
      </c>
      <c r="B21" s="49" cm="1">
        <f t="array" ref="B21">_xlfn.XLOOKUP($A21,'Trial Balance'!$A:A,'Trial Balance'!D:D,"N/A",0,1)*-1</f>
        <v>500</v>
      </c>
      <c r="C21" s="50"/>
      <c r="D21" s="50"/>
      <c r="E21" s="50"/>
      <c r="F21" s="50"/>
      <c r="G21" s="50"/>
    </row>
    <row r="22" spans="1:7" x14ac:dyDescent="0.25">
      <c r="A22" s="2" t="s">
        <v>68</v>
      </c>
      <c r="B22" s="49" cm="1">
        <f t="array" ref="B22">_xlfn.XLOOKUP($A22,'Trial Balance'!$A:A,'Trial Balance'!D:D,"N/A",0,1)*-1</f>
        <v>58</v>
      </c>
      <c r="C22" s="50"/>
      <c r="D22" s="50"/>
      <c r="E22" s="50"/>
      <c r="F22" s="50"/>
      <c r="G22" s="50"/>
    </row>
    <row r="23" spans="1:7" ht="20.25" x14ac:dyDescent="0.4">
      <c r="A23" s="51" t="s">
        <v>80</v>
      </c>
      <c r="B23" s="52">
        <f>SUM(B20:B22)</f>
        <v>2058</v>
      </c>
      <c r="C23" s="53"/>
      <c r="D23" s="53"/>
      <c r="E23" s="53"/>
      <c r="F23" s="53"/>
      <c r="G23" s="53"/>
    </row>
    <row r="24" spans="1:7" ht="18.75" x14ac:dyDescent="0.3">
      <c r="A24" s="86" t="s">
        <v>81</v>
      </c>
      <c r="B24" s="86"/>
      <c r="C24" s="86"/>
      <c r="D24" s="86"/>
      <c r="E24" s="86"/>
      <c r="F24" s="86"/>
      <c r="G24" s="86"/>
    </row>
    <row r="25" spans="1:7" x14ac:dyDescent="0.25">
      <c r="A25" s="2"/>
      <c r="B25" s="49">
        <f>IFERROR(VLOOKUP($A25,'Trial Balance'!$A$4:$D$18,4,0)*-1, 0)</f>
        <v>0</v>
      </c>
      <c r="C25" s="50"/>
      <c r="D25" s="50"/>
      <c r="E25" s="50"/>
      <c r="F25" s="50"/>
      <c r="G25" s="50"/>
    </row>
    <row r="26" spans="1:7" ht="20.25" x14ac:dyDescent="0.4">
      <c r="A26" s="51" t="s">
        <v>82</v>
      </c>
      <c r="B26" s="52">
        <f>SUM(B25:B25)</f>
        <v>0</v>
      </c>
      <c r="C26" s="53"/>
      <c r="D26" s="53"/>
      <c r="E26" s="53"/>
      <c r="F26" s="53"/>
      <c r="G26" s="53"/>
    </row>
    <row r="27" spans="1:7" ht="18.75" x14ac:dyDescent="0.3">
      <c r="A27" s="86" t="s">
        <v>8</v>
      </c>
      <c r="B27" s="86"/>
      <c r="C27" s="86"/>
      <c r="D27" s="86"/>
      <c r="E27" s="86"/>
      <c r="F27" s="86"/>
      <c r="G27" s="86"/>
    </row>
    <row r="28" spans="1:7" x14ac:dyDescent="0.25">
      <c r="A28" s="2" t="s">
        <v>8</v>
      </c>
      <c r="B28" s="49" cm="1">
        <f t="array" ref="B28">_xlfn.XLOOKUP($A28,'Trial Balance'!$A:A,'Trial Balance'!D:D,"N/A",0,1)</f>
        <v>-10000</v>
      </c>
      <c r="C28" s="50"/>
      <c r="D28" s="50"/>
      <c r="E28" s="50"/>
      <c r="F28" s="50"/>
      <c r="G28" s="50"/>
    </row>
    <row r="29" spans="1:7" x14ac:dyDescent="0.25">
      <c r="A29" s="2" t="s">
        <v>65</v>
      </c>
      <c r="B29" s="49">
        <f>'Income Statement'!H18</f>
        <v>642.25</v>
      </c>
      <c r="C29" s="50"/>
      <c r="D29" s="50"/>
      <c r="E29" s="50"/>
      <c r="F29" s="50"/>
      <c r="G29" s="50"/>
    </row>
    <row r="30" spans="1:7" ht="20.25" x14ac:dyDescent="0.4">
      <c r="A30" s="51" t="s">
        <v>83</v>
      </c>
      <c r="B30" s="52">
        <f>SUM(B28:B29)</f>
        <v>-9357.75</v>
      </c>
      <c r="C30" s="53"/>
      <c r="D30" s="53"/>
      <c r="E30" s="53"/>
      <c r="F30" s="53"/>
      <c r="G30" s="53"/>
    </row>
    <row r="31" spans="1:7" ht="20.25" x14ac:dyDescent="0.4">
      <c r="A31" s="51" t="s">
        <v>84</v>
      </c>
      <c r="B31" s="52">
        <f>SUM(B23+B26+B30)</f>
        <v>-7299.75</v>
      </c>
      <c r="C31" s="53"/>
      <c r="D31" s="53"/>
      <c r="E31" s="53"/>
      <c r="F31" s="53"/>
      <c r="G31" s="53"/>
    </row>
    <row r="32" spans="1:7" ht="18.75" x14ac:dyDescent="0.3">
      <c r="A32" s="58" t="s">
        <v>85</v>
      </c>
      <c r="B32" s="61" t="s">
        <v>21</v>
      </c>
      <c r="C32" s="60"/>
      <c r="D32" s="60"/>
      <c r="E32" s="60"/>
      <c r="F32" s="60"/>
      <c r="G32" s="60"/>
    </row>
    <row r="33" spans="1:7" x14ac:dyDescent="0.25">
      <c r="A33" s="62" t="s">
        <v>86</v>
      </c>
      <c r="B33" s="63">
        <f>(B23+B26)/B17</f>
        <v>0.1620472440944882</v>
      </c>
      <c r="C33" s="64"/>
      <c r="D33" s="64"/>
      <c r="E33" s="64"/>
      <c r="F33" s="64"/>
      <c r="G33" s="64"/>
    </row>
    <row r="34" spans="1:7" x14ac:dyDescent="0.25">
      <c r="A34" s="62" t="s">
        <v>87</v>
      </c>
      <c r="B34" s="63">
        <f>($B$8/$B$23)</f>
        <v>5.0048590864917397</v>
      </c>
      <c r="C34" s="64"/>
      <c r="D34" s="64"/>
      <c r="E34" s="64"/>
      <c r="F34" s="64"/>
      <c r="G34" s="64"/>
    </row>
    <row r="35" spans="1:7" x14ac:dyDescent="0.25">
      <c r="A35" s="62" t="s">
        <v>88</v>
      </c>
      <c r="B35" s="65">
        <f>($B$8-$B$23)</f>
        <v>8242</v>
      </c>
      <c r="C35" s="64"/>
      <c r="D35" s="64"/>
      <c r="E35" s="64"/>
      <c r="F35" s="64"/>
      <c r="G35" s="64"/>
    </row>
    <row r="36" spans="1:7" x14ac:dyDescent="0.25">
      <c r="A36" s="62" t="s">
        <v>89</v>
      </c>
      <c r="B36" s="63">
        <f>(B17/B30)</f>
        <v>-1.3571638481472577</v>
      </c>
      <c r="C36" s="64"/>
      <c r="D36" s="64"/>
      <c r="E36" s="64"/>
      <c r="F36" s="64"/>
      <c r="G36" s="64"/>
    </row>
    <row r="37" spans="1:7" x14ac:dyDescent="0.25">
      <c r="A37" s="62" t="s">
        <v>90</v>
      </c>
      <c r="B37" s="63">
        <f>(B23+B26)/B30</f>
        <v>-0.21992466137693356</v>
      </c>
      <c r="C37" s="64"/>
      <c r="D37" s="64"/>
      <c r="E37" s="64"/>
      <c r="F37" s="64"/>
      <c r="G37" s="64"/>
    </row>
  </sheetData>
  <mergeCells count="7">
    <mergeCell ref="A9:G9"/>
    <mergeCell ref="A19:G19"/>
    <mergeCell ref="A24:G24"/>
    <mergeCell ref="A27:G27"/>
    <mergeCell ref="A1:G1"/>
    <mergeCell ref="A2:G2"/>
    <mergeCell ref="A4:G4"/>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6C45960-0034-4504-BE91-21C4A4425E63}">
          <x14:formula1>
            <xm:f>'Trial Balance'!$A$4:$A$18</xm:f>
          </x14:formula1>
          <xm:sqref>A5:A7 A10:A11 A14:A15 A20:A22 A25 A28</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Chart of Accounts</vt:lpstr>
      <vt:lpstr>Journal Entry</vt:lpstr>
      <vt:lpstr>Ledger</vt:lpstr>
      <vt:lpstr>Trial Balance</vt:lpstr>
      <vt:lpstr>Income Statement</vt:lpstr>
      <vt:lpstr>Owner's Equity</vt:lpstr>
      <vt:lpstr>Balance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markiedos6@gmail.com</dc:creator>
  <cp:lastModifiedBy>markiedos6@gmail.com</cp:lastModifiedBy>
  <dcterms:created xsi:type="dcterms:W3CDTF">2025-02-06T20:49:14Z</dcterms:created>
  <dcterms:modified xsi:type="dcterms:W3CDTF">2025-03-15T21:38:48Z</dcterms:modified>
</cp:coreProperties>
</file>